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charm projects\接口自动化项目优化\data\"/>
    </mc:Choice>
  </mc:AlternateContent>
  <xr:revisionPtr revIDLastSave="0" documentId="13_ncr:1_{DE8F58CA-7D7C-4AEB-AD65-CED610D3756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用例统计" sheetId="2" r:id="rId2"/>
    <sheet name="接口契约" sheetId="3" r:id="rId3"/>
  </sheets>
  <calcPr calcId="191029"/>
</workbook>
</file>

<file path=xl/calcChain.xml><?xml version="1.0" encoding="utf-8"?>
<calcChain xmlns="http://schemas.openxmlformats.org/spreadsheetml/2006/main">
  <c r="B15" i="2" l="1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6" i="2"/>
  <c r="B5" i="2"/>
  <c r="B4" i="2"/>
</calcChain>
</file>

<file path=xl/sharedStrings.xml><?xml version="1.0" encoding="utf-8"?>
<sst xmlns="http://schemas.openxmlformats.org/spreadsheetml/2006/main" count="1000" uniqueCount="399">
  <si>
    <t>编号</t>
  </si>
  <si>
    <t>模块</t>
  </si>
  <si>
    <t>场景</t>
  </si>
  <si>
    <t>用例标题</t>
  </si>
  <si>
    <t>前置变量</t>
  </si>
  <si>
    <t>请求方式</t>
  </si>
  <si>
    <t>接口路径</t>
  </si>
  <si>
    <t>请求头</t>
  </si>
  <si>
    <t>URL参数</t>
  </si>
  <si>
    <t>表单参数</t>
  </si>
  <si>
    <t>JSON参数</t>
  </si>
  <si>
    <t>文件参数</t>
  </si>
  <si>
    <t>断言规则</t>
  </si>
  <si>
    <t>响应提取</t>
  </si>
  <si>
    <t>SQL提取</t>
  </si>
  <si>
    <t>是否执行</t>
  </si>
  <si>
    <t>id</t>
  </si>
  <si>
    <t>feature</t>
  </si>
  <si>
    <t>story</t>
  </si>
  <si>
    <t>title</t>
  </si>
  <si>
    <t>requires</t>
  </si>
  <si>
    <t>method</t>
  </si>
  <si>
    <t>path</t>
  </si>
  <si>
    <t>headers</t>
  </si>
  <si>
    <t>params</t>
  </si>
  <si>
    <t>data</t>
  </si>
  <si>
    <t>json</t>
  </si>
  <si>
    <t>files</t>
  </si>
  <si>
    <t>assertions</t>
  </si>
  <si>
    <t>jsonExData</t>
  </si>
  <si>
    <t>sqlExData</t>
  </si>
  <si>
    <t>is_true</t>
  </si>
  <si>
    <t>测试环境</t>
  </si>
  <si>
    <t>环境初始化</t>
  </si>
  <si>
    <t>重置Mock测试数据</t>
  </si>
  <si>
    <t>post</t>
  </si>
  <si>
    <t>/test/reset</t>
  </si>
  <si>
    <t>[{"type":"status_code","operator":"equals","expected":200},{"type":"json","path":"$..msg","operator":"equals","expected":"测试数据重置成功"}]</t>
  </si>
  <si>
    <t>健康检查</t>
  </si>
  <si>
    <t>查询Mock服务健康状态</t>
  </si>
  <si>
    <t>get</t>
  </si>
  <si>
    <t>/health</t>
  </si>
  <si>
    <t>[{"type":"status_code","operator":"equals","expected":200},{"type":"json","path":"$..msg","operator":"equals","expected":"服务正常"},{"type":"json","path":"$.data.status","operator":"equals","expected":"UP"}]</t>
  </si>
  <si>
    <t>异常路由</t>
  </si>
  <si>
    <t>访问不存在的接口</t>
  </si>
  <si>
    <t>/not-exists</t>
  </si>
  <si>
    <t>[{"type":"status_code","operator":"equals","expected":404},{"type":"json","path":"$..msg","operator":"equals","expected":"接口不存在"}]</t>
  </si>
  <si>
    <t>登录鉴权</t>
  </si>
  <si>
    <t>登录成功</t>
  </si>
  <si>
    <t>表单方式管理员登录成功</t>
  </si>
  <si>
    <t>/login</t>
  </si>
  <si>
    <t>{"username":"admin","password":"123456"}</t>
  </si>
  <si>
    <t>[{"type":"status_code","operator":"equals","expected":200},{"type":"json","path":"$..msg","operator":"equals","expected":"登录成功"}]</t>
  </si>
  <si>
    <t>{"TOKEN":"$..token"}</t>
  </si>
  <si>
    <t>JSON方式管理员登录成功</t>
  </si>
  <si>
    <t>参数校验</t>
  </si>
  <si>
    <t>登录缺少用户名</t>
  </si>
  <si>
    <t>{"password":"123456"}</t>
  </si>
  <si>
    <t>[{"type":"status_code","operator":"equals","expected":400},{"type":"json","path":"$..msg","operator":"equals","expected":"用户名不能为空"}]</t>
  </si>
  <si>
    <t>登录用户名为空字符串</t>
  </si>
  <si>
    <t>{"username":"","password":"123456"}</t>
  </si>
  <si>
    <t>登录用户名仅包含空格</t>
  </si>
  <si>
    <t>{"username":"   ","password":"123456"}</t>
  </si>
  <si>
    <t>登录缺少密码</t>
  </si>
  <si>
    <t>{"username":"admin"}</t>
  </si>
  <si>
    <t>[{"type":"status_code","operator":"equals","expected":400},{"type":"json","path":"$..msg","operator":"equals","expected":"密码不能为空"}]</t>
  </si>
  <si>
    <t>认证失败</t>
  </si>
  <si>
    <t>登录用户名错误</t>
  </si>
  <si>
    <t>{"username":"wrong","password":"123456"}</t>
  </si>
  <si>
    <t>[{"type":"status_code","operator":"equals","expected":401},{"type":"json","path":"$..msg","operator":"equals","expected":"用户名或密码错误"}]</t>
  </si>
  <si>
    <t>登录密码错误</t>
  </si>
  <si>
    <t>{"username":"admin","password":"wrongpass"}</t>
  </si>
  <si>
    <t>请求方法</t>
  </si>
  <si>
    <t>使用GET方法访问登录接口</t>
  </si>
  <si>
    <t>[{"type":"status_code","operator":"equals","expected":405},{"type":"json","path":"$..msg","operator":"equals","expected":"请求方法不允许"}]</t>
  </si>
  <si>
    <t>Token校验</t>
  </si>
  <si>
    <t>无Token访问用户列表</t>
  </si>
  <si>
    <t>/users</t>
  </si>
  <si>
    <t>[{"type":"status_code","operator":"equals","expected":401},{"type":"json","path":"$..msg","operator":"equals","expected":"无效token"}]</t>
  </si>
  <si>
    <t>错误Token访问用户列表</t>
  </si>
  <si>
    <t>{"Authorization":"invalid-token"}</t>
  </si>
  <si>
    <t>Bearer格式Token访问用户列表</t>
  </si>
  <si>
    <t>["TOKEN"]</t>
  </si>
  <si>
    <t>{"Authorization":"Bearer {{ TOKEN }}"}</t>
  </si>
  <si>
    <t>[{"type":"status_code","operator":"equals","expected":200},{"type":"json","path":"$..msg","operator":"equals","expected":"获取管理员列表成功"}]</t>
  </si>
  <si>
    <t>用户管理</t>
  </si>
  <si>
    <t>列表查询</t>
  </si>
  <si>
    <t>查询用户列表成功</t>
  </si>
  <si>
    <t>{"Authorization":"{{ TOKEN }}"}</t>
  </si>
  <si>
    <t>{"pagenum":1,"pagesize":10}</t>
  </si>
  <si>
    <t>分页查询</t>
  </si>
  <si>
    <t>每页一条查询用户</t>
  </si>
  <si>
    <t>{"pagenum":1,"pagesize":1}</t>
  </si>
  <si>
    <t>分页校验</t>
  </si>
  <si>
    <t>页码为零查询用户</t>
  </si>
  <si>
    <t>{"pagenum":0,"pagesize":10}</t>
  </si>
  <si>
    <t>[{"type":"status_code","operator":"equals","expected":400},{"type":"json","path":"$..msg","operator":"equals","expected":"分页参数不合法"}]</t>
  </si>
  <si>
    <t>每页数量超过上限</t>
  </si>
  <si>
    <t>{"pagenum":1,"pagesize":101}</t>
  </si>
  <si>
    <t>条件查询</t>
  </si>
  <si>
    <t>按用户名模糊查询</t>
  </si>
  <si>
    <t>{"username":"ali"}</t>
  </si>
  <si>
    <t>状态筛选</t>
  </si>
  <si>
    <t>查询启用用户</t>
  </si>
  <si>
    <t>{"state":"true"}</t>
  </si>
  <si>
    <t>查询停用用户</t>
  </si>
  <si>
    <t>{"state":"false"}</t>
  </si>
  <si>
    <t>状态校验</t>
  </si>
  <si>
    <t>使用非法用户状态筛选</t>
  </si>
  <si>
    <t>{"state":"unknown"}</t>
  </si>
  <si>
    <t>[{"type":"status_code","operator":"equals","expected":400},{"type":"json","path":"$..msg","operator":"equals","expected":"用户状态参数不合法"}]</t>
  </si>
  <si>
    <t>新增成功</t>
  </si>
  <si>
    <t>新增测试用户</t>
  </si>
  <si>
    <t>{"username":"jay","password":"123456","email":"jay@example.com"}</t>
  </si>
  <si>
    <t>[{"type":"status_code","operator":"equals","expected":201},{"type":"json","path":"$..msg","operator":"equals","expected":"创建成功"}]</t>
  </si>
  <si>
    <t>{"NEW_USER_ID":"$.data.id"}</t>
  </si>
  <si>
    <t>唯一性校验</t>
  </si>
  <si>
    <t>新增重复用户名</t>
  </si>
  <si>
    <t>{"username":"jay","password":"123456"}</t>
  </si>
  <si>
    <t>[{"type":"status_code","operator":"equals","expected":409},{"type":"json","path":"$..msg","operator":"equals","expected":"用户名已存在"}]</t>
  </si>
  <si>
    <t>新增用户缺少用户名</t>
  </si>
  <si>
    <t>新增用户缺少密码</t>
  </si>
  <si>
    <t>{"username":"no_password"}</t>
  </si>
  <si>
    <t>边界校验</t>
  </si>
  <si>
    <t>新增用户密码不足六位</t>
  </si>
  <si>
    <t>{"username":"short_pwd","password":"123"}</t>
  </si>
  <si>
    <t>[{"type":"status_code","operator":"equals","expected":400},{"type":"json","path":"$..msg","operator":"equals","expected":"密码长度不能少于6位"}]</t>
  </si>
  <si>
    <t>详情查询</t>
  </si>
  <si>
    <t>查询新增用户详情</t>
  </si>
  <si>
    <t>["TOKEN","NEW_USER_ID"]</t>
  </si>
  <si>
    <t>/users/{{ NEW_USER_ID }}</t>
  </si>
  <si>
    <t>[{"type":"status_code","operator":"equals","expected":200},{"type":"json","path":"$..msg","operator":"equals","expected":"获取用户成功"}]</t>
  </si>
  <si>
    <t>查询不存在的用户</t>
  </si>
  <si>
    <t>/users/99999</t>
  </si>
  <si>
    <t>[{"type":"status_code","operator":"equals","expected":404},{"type":"json","path":"$..msg","operator":"equals","expected":"用户不存在"}]</t>
  </si>
  <si>
    <t>信息修改</t>
  </si>
  <si>
    <t>修改新增用户邮箱</t>
  </si>
  <si>
    <t>put</t>
  </si>
  <si>
    <t>{"email":"jay_new@example.com"}</t>
  </si>
  <si>
    <t>[{"type":"status_code","operator":"equals","expected":200},{"type":"json","path":"$..msg","operator":"equals","expected":"更新用户成功"}]</t>
  </si>
  <si>
    <t>修改用户未提供有效字段</t>
  </si>
  <si>
    <t>{"password":"ignored"}</t>
  </si>
  <si>
    <t>[{"type":"status_code","operator":"equals","expected":400},{"type":"json","path":"$..msg","operator":"equals","expected":"没有可更新字段"}]</t>
  </si>
  <si>
    <t>状态修改</t>
  </si>
  <si>
    <t>停用新增用户</t>
  </si>
  <si>
    <t>/users/{{ NEW_USER_ID }}/state/false</t>
  </si>
  <si>
    <t>[{"type":"status_code","operator":"equals","expected":200},{"type":"json","path":"$..msg","operator":"equals","expected":"设置状态成功"}]</t>
  </si>
  <si>
    <t>设置非法用户状态</t>
  </si>
  <si>
    <t>/users/{{ NEW_USER_ID }}/state/invalid</t>
  </si>
  <si>
    <t>删除成功</t>
  </si>
  <si>
    <t>删除新增用户</t>
  </si>
  <si>
    <t>delete</t>
  </si>
  <si>
    <t>[{"type":"status_code","operator":"equals","expected":200},{"type":"json","path":"$..msg","operator":"equals","expected":"删除用户成功"}]</t>
  </si>
  <si>
    <t>分类管理</t>
  </si>
  <si>
    <t>查询分类列表</t>
  </si>
  <si>
    <t>/categories</t>
  </si>
  <si>
    <t>[{"type":"status_code","operator":"equals","expected":200},{"type":"json","path":"$..msg","operator":"equals","expected":"获取分类列表成功"}]</t>
  </si>
  <si>
    <t>每页一条查询分类</t>
  </si>
  <si>
    <t>分类页码为零</t>
  </si>
  <si>
    <t>{"pagenum":0}</t>
  </si>
  <si>
    <t>按名称查询分类</t>
  </si>
  <si>
    <t>{"name":"数码"}</t>
  </si>
  <si>
    <t>权限校验</t>
  </si>
  <si>
    <t>错误Token查询分类</t>
  </si>
  <si>
    <t>{"Authorization":"bad-token"}</t>
  </si>
  <si>
    <t>新增家居分类</t>
  </si>
  <si>
    <t>{"name":"家居"}</t>
  </si>
  <si>
    <t>[{"type":"status_code","operator":"equals","expected":201},{"type":"json","path":"$..msg","operator":"equals","expected":"创建分类成功"}]</t>
  </si>
  <si>
    <t>{"NEW_CATEGORY_ID":"$.data.id"}</t>
  </si>
  <si>
    <t>新增重复分类</t>
  </si>
  <si>
    <t>[{"type":"status_code","operator":"equals","expected":409},{"type":"json","path":"$..msg","operator":"equals","expected":"分类名称已存在"}]</t>
  </si>
  <si>
    <t>新增分类名称为空</t>
  </si>
  <si>
    <t>{"name":""}</t>
  </si>
  <si>
    <t>[{"type":"status_code","operator":"equals","expected":400},{"type":"json","path":"$..msg","operator":"equals","expected":"分类名称不能为空"}]</t>
  </si>
  <si>
    <t>查询新增分类详情</t>
  </si>
  <si>
    <t>["TOKEN","NEW_CATEGORY_ID"]</t>
  </si>
  <si>
    <t>/categories/{{ NEW_CATEGORY_ID }}</t>
  </si>
  <si>
    <t>[{"type":"status_code","operator":"equals","expected":200},{"type":"json","path":"$..msg","operator":"equals","expected":"获取分类成功"}]</t>
  </si>
  <si>
    <t>查询不存在分类</t>
  </si>
  <si>
    <t>/categories/99999</t>
  </si>
  <si>
    <t>[{"type":"status_code","operator":"equals","expected":404},{"type":"json","path":"$..msg","operator":"equals","expected":"分类不存在"}]</t>
  </si>
  <si>
    <t>修改新增分类名称</t>
  </si>
  <si>
    <t>{"name":"家居生活"}</t>
  </si>
  <si>
    <t>[{"type":"status_code","operator":"equals","expected":200},{"type":"json","path":"$..msg","operator":"equals","expected":"更新分类成功"}]</t>
  </si>
  <si>
    <t>修改分类名称为空</t>
  </si>
  <si>
    <t>修改为已有分类名称</t>
  </si>
  <si>
    <t>关联校验</t>
  </si>
  <si>
    <t>删除存在商品的分类</t>
  </si>
  <si>
    <t>/categories/1</t>
  </si>
  <si>
    <t>[{"type":"status_code","operator":"equals","expected":409},{"type":"json","path":"$..msg","operator":"equals","expected":"分类下存在商品"}]</t>
  </si>
  <si>
    <t>删除新增分类</t>
  </si>
  <si>
    <t>[{"type":"status_code","operator":"equals","expected":200},{"type":"json","path":"$..msg","operator":"equals","expected":"删除分类成功"}]</t>
  </si>
  <si>
    <t>商品管理</t>
  </si>
  <si>
    <t>查询商品列表</t>
  </si>
  <si>
    <t>/products</t>
  </si>
  <si>
    <t>[{"type":"status_code","operator":"equals","expected":200},{"type":"json","path":"$..msg","operator":"equals","expected":"获取商品列表成功"}]</t>
  </si>
  <si>
    <t>每页一条查询商品</t>
  </si>
  <si>
    <t>商品页码为零</t>
  </si>
  <si>
    <t>关键词查询</t>
  </si>
  <si>
    <t>按商品名称查询</t>
  </si>
  <si>
    <t>{"keyword":"手机"}</t>
  </si>
  <si>
    <t>分类筛选</t>
  </si>
  <si>
    <t>按分类查询商品</t>
  </si>
  <si>
    <t>{"category_id":1}</t>
  </si>
  <si>
    <t>查询下架商品</t>
  </si>
  <si>
    <t>价格筛选</t>
  </si>
  <si>
    <t>按价格区间查询商品</t>
  </si>
  <si>
    <t>{"min_price":100,"max_price":500}</t>
  </si>
  <si>
    <t>价格校验</t>
  </si>
  <si>
    <t>最低价格大于最高价格</t>
  </si>
  <si>
    <t>{"min_price":500,"max_price":100}</t>
  </si>
  <si>
    <t>[{"type":"status_code","operator":"equals","expected":400},{"type":"json","path":"$..msg","operator":"equals","expected":"最低价格不能大于最高价格"}]</t>
  </si>
  <si>
    <t>排序查询</t>
  </si>
  <si>
    <t>按价格升序查询</t>
  </si>
  <si>
    <t>{"sort":"price_asc"}</t>
  </si>
  <si>
    <t>排序校验</t>
  </si>
  <si>
    <t>使用非法排序参数</t>
  </si>
  <si>
    <t>{"sort":"unknown"}</t>
  </si>
  <si>
    <t>[{"type":"status_code","operator":"equals","expected":400},{"type":"json","path":"$..msg","operator":"equals","expected":"排序参数不合法"}]</t>
  </si>
  <si>
    <t>新增蓝牙耳机商品</t>
  </si>
  <si>
    <t>{"title":"蓝牙耳机","price":299,"stock":100,"category_id":1}</t>
  </si>
  <si>
    <t>[{"type":"status_code","operator":"equals","expected":201},{"type":"json","path":"$..msg","operator":"equals","expected":"创建商品成功"}]</t>
  </si>
  <si>
    <t>{"NEW_PRODUCT_ID":"$.data.id"}</t>
  </si>
  <si>
    <t>新增重复商品名称</t>
  </si>
  <si>
    <t>{"title":"蓝牙耳机","price":299,"stock":10,"category_id":1}</t>
  </si>
  <si>
    <t>[{"type":"status_code","operator":"equals","expected":409},{"type":"json","path":"$..msg","operator":"equals","expected":"商品名称已存在"}]</t>
  </si>
  <si>
    <t>新增商品缺少名称</t>
  </si>
  <si>
    <t>{"price":100,"stock":10,"category_id":1}</t>
  </si>
  <si>
    <t>[{"type":"status_code","operator":"equals","expected":400},{"type":"json","path":"$..msg","operator":"equals","expected":"商品名称不能为空"}]</t>
  </si>
  <si>
    <t>类型校验</t>
  </si>
  <si>
    <t>商品价格使用非数字</t>
  </si>
  <si>
    <t>{"title":"错误价格商品","price":"abc","stock":10,"category_id":1}</t>
  </si>
  <si>
    <t>[{"type":"status_code","operator":"equals","expected":400},{"type":"json","path":"$..msg","operator":"equals","expected":"商品参数类型不合法"}]</t>
  </si>
  <si>
    <t>商品价格为零</t>
  </si>
  <si>
    <t>{"title":"零元商品","price":0,"stock":10,"category_id":1}</t>
  </si>
  <si>
    <t>[{"type":"status_code","operator":"equals","expected":400},{"type":"json","path":"$..msg","operator":"equals","expected":"商品价格必须大于0"}]</t>
  </si>
  <si>
    <t>商品库存为负数</t>
  </si>
  <si>
    <t>{"title":"负库存商品","price":10,"stock":-1,"category_id":1}</t>
  </si>
  <si>
    <t>[{"type":"status_code","operator":"equals","expected":400},{"type":"json","path":"$..msg","operator":"equals","expected":"商品库存不能为负数"}]</t>
  </si>
  <si>
    <t>新增商品使用不存在分类</t>
  </si>
  <si>
    <t>{"title":"未知分类商品","price":10,"stock":1,"category_id":999}</t>
  </si>
  <si>
    <t>[{"type":"status_code","operator":"equals","expected":400},{"type":"json","path":"$..msg","operator":"equals","expected":"商品分类不存在"}]</t>
  </si>
  <si>
    <t>查询新增商品详情</t>
  </si>
  <si>
    <t>["TOKEN","NEW_PRODUCT_ID"]</t>
  </si>
  <si>
    <t>/products/{{ NEW_PRODUCT_ID }}</t>
  </si>
  <si>
    <t>[{"type":"status_code","operator":"equals","expected":200},{"type":"json","path":"$..msg","operator":"equals","expected":"获取商品成功"}]</t>
  </si>
  <si>
    <t>查询不存在商品</t>
  </si>
  <si>
    <t>/products/99999</t>
  </si>
  <si>
    <t>[{"type":"status_code","operator":"equals","expected":404},{"type":"json","path":"$..msg","operator":"equals","expected":"商品不存在"}]</t>
  </si>
  <si>
    <t>修改商品名称</t>
  </si>
  <si>
    <t>{"title":"降噪蓝牙耳机"}</t>
  </si>
  <si>
    <t>[{"type":"status_code","operator":"equals","expected":200},{"type":"json","path":"$..msg","operator":"equals","expected":"更新商品成功"}]</t>
  </si>
  <si>
    <t>修改商品价格</t>
  </si>
  <si>
    <t>{"price":259}</t>
  </si>
  <si>
    <t>修改商品未提供有效字段</t>
  </si>
  <si>
    <t>{"stock":20}</t>
  </si>
  <si>
    <t>下架新增商品</t>
  </si>
  <si>
    <t>/products/{{ NEW_PRODUCT_ID }}/state/false</t>
  </si>
  <si>
    <t>[{"type":"status_code","operator":"equals","expected":200},{"type":"json","path":"$..msg","operator":"equals","expected":"设置商品状态成功"}]</t>
  </si>
  <si>
    <t>库存修改</t>
  </si>
  <si>
    <t>更新新增商品库存</t>
  </si>
  <si>
    <t>/products/{{ NEW_PRODUCT_ID }}/stock</t>
  </si>
  <si>
    <t>{"stock":80}</t>
  </si>
  <si>
    <t>[{"type":"status_code","operator":"equals","expected":200},{"type":"json","path":"$..msg","operator":"equals","expected":"更新库存成功"}]</t>
  </si>
  <si>
    <t>删除新增商品</t>
  </si>
  <si>
    <t>[{"type":"status_code","operator":"equals","expected":200},{"type":"json","path":"$..msg","operator":"equals","expected":"删除商品成功"}]</t>
  </si>
  <si>
    <t>订单管理</t>
  </si>
  <si>
    <t>查询订单列表</t>
  </si>
  <si>
    <t>/orders</t>
  </si>
  <si>
    <t>[{"type":"status_code","operator":"equals","expected":200},{"type":"json","path":"$..msg","operator":"equals","expected":"获取订单列表成功"}]</t>
  </si>
  <si>
    <t>查询待支付订单</t>
  </si>
  <si>
    <t>{"status":"pending"}</t>
  </si>
  <si>
    <t>使用非法订单状态筛选</t>
  </si>
  <si>
    <t>{"status":"unknown"}</t>
  </si>
  <si>
    <t>[{"type":"status_code","operator":"equals","expected":400},{"type":"json","path":"$..msg","operator":"equals","expected":"订单状态参数不合法"}]</t>
  </si>
  <si>
    <t>创建测试订单</t>
  </si>
  <si>
    <t>{"user_id":2,"items":[{"product_id":2,"quantity":2}]}</t>
  </si>
  <si>
    <t>[{"type":"status_code","operator":"equals","expected":201},{"type":"json","path":"$..msg","operator":"equals","expected":"创建订单成功"}]</t>
  </si>
  <si>
    <t>{"NEW_ORDER_ID":"$.data.id"}</t>
  </si>
  <si>
    <t>创建订单缺少用户</t>
  </si>
  <si>
    <t>{"items":[{"product_id":2,"quantity":1}]}</t>
  </si>
  <si>
    <t>[{"type":"status_code","operator":"equals","expected":400},{"type":"json","path":"$..msg","operator":"equals","expected":"用户参数不合法"}]</t>
  </si>
  <si>
    <t>创建订单使用不存在用户</t>
  </si>
  <si>
    <t>{"user_id":999,"items":[{"product_id":2,"quantity":1}]}</t>
  </si>
  <si>
    <t>[{"type":"status_code","operator":"equals","expected":400},{"type":"json","path":"$..msg","operator":"equals","expected":"用户不存在"}]</t>
  </si>
  <si>
    <t>创建订单商品列表为空</t>
  </si>
  <si>
    <t>{"user_id":2,"items":[]}</t>
  </si>
  <si>
    <t>[{"type":"status_code","operator":"equals","expected":400},{"type":"json","path":"$..msg","operator":"equals","expected":"订单商品不能为空"}]</t>
  </si>
  <si>
    <t>创建订单使用不存在商品</t>
  </si>
  <si>
    <t>{"user_id":2,"items":[{"product_id":999,"quantity":1}]}</t>
  </si>
  <si>
    <t>[{"type":"status_code","operator":"equals","expected":400},{"type":"json","path":"$..msg","operator":"equals","expected":"商品不存在"}]</t>
  </si>
  <si>
    <t>创建订单商品数量为零</t>
  </si>
  <si>
    <t>{"user_id":2,"items":[{"product_id":2,"quantity":0}]}</t>
  </si>
  <si>
    <t>[{"type":"status_code","operator":"equals","expected":400},{"type":"json","path":"$..msg","operator":"equals","expected":"商品数量必须大于0"}]</t>
  </si>
  <si>
    <t>库存校验</t>
  </si>
  <si>
    <t>创建订单商品库存不足</t>
  </si>
  <si>
    <t>{"user_id":2,"items":[{"product_id":2,"quantity":9999}]}</t>
  </si>
  <si>
    <t>[{"type":"status_code","operator":"equals","expected":409},{"type":"json","path":"$..msg","operator":"equals","expected":"商品库存不足"}]</t>
  </si>
  <si>
    <t>查询新增订单详情</t>
  </si>
  <si>
    <t>["TOKEN","NEW_ORDER_ID"]</t>
  </si>
  <si>
    <t>/orders/{{ NEW_ORDER_ID }}</t>
  </si>
  <si>
    <t>[{"type":"status_code","operator":"equals","expected":200},{"type":"json","path":"$..msg","operator":"equals","expected":"获取订单成功"}]</t>
  </si>
  <si>
    <t>状态流转</t>
  </si>
  <si>
    <t>订单从待支付变为已支付</t>
  </si>
  <si>
    <t>/orders/{{ NEW_ORDER_ID }}/status/paid</t>
  </si>
  <si>
    <t>[{"type":"status_code","operator":"equals","expected":200},{"type":"json","path":"$..msg","operator":"equals","expected":"更新订单状态成功"}]</t>
  </si>
  <si>
    <t>订单从已支付变为已发货</t>
  </si>
  <si>
    <t>/orders/{{ NEW_ORDER_ID }}/status/shipped</t>
  </si>
  <si>
    <t>订单从已发货变为已完成</t>
  </si>
  <si>
    <t>/orders/{{ NEW_ORDER_ID }}/status/completed</t>
  </si>
  <si>
    <t>删除已完成订单</t>
  </si>
  <si>
    <t>[{"type":"status_code","operator":"equals","expected":200},{"type":"json","path":"$..msg","operator":"equals","expected":"删除订单成功"}]</t>
  </si>
  <si>
    <t>文件上传</t>
  </si>
  <si>
    <t>上传成功</t>
  </si>
  <si>
    <t>上传TXT文件</t>
  </si>
  <si>
    <t>/upload</t>
  </si>
  <si>
    <t>{"file":{"path":"./file/sample.txt","filename":"sample.txt","content_type":"text/plain"}}</t>
  </si>
  <si>
    <t>[{"type":"status_code","operator":"equals","expected":200},{"type":"json","path":"$..msg","operator":"equals","expected":"上传成功"}]</t>
  </si>
  <si>
    <t>上传JPG文件</t>
  </si>
  <si>
    <t>{"file":{"path":"./file/sample.jpg","filename":"sample.jpg","content_type":"image/jpeg"}}</t>
  </si>
  <si>
    <t>上传PNG文件</t>
  </si>
  <si>
    <t>{"file":{"path":"./file/sample.png","filename":"sample.png","content_type":"image/png"}}</t>
  </si>
  <si>
    <t>无Token上传文件</t>
  </si>
  <si>
    <t>错误Token上传文件</t>
  </si>
  <si>
    <t>未选择文件</t>
  </si>
  <si>
    <t>[{"type":"status_code","operator":"equals","expected":400},{"type":"json","path":"$..msg","operator":"equals","expected":"请选择上传文件"}]</t>
  </si>
  <si>
    <t>上传不支持的EXE文件</t>
  </si>
  <si>
    <t>{"file":{"path":"./file/sample.exe","filename":"sample.exe","content_type":"application/octet-stream"}}</t>
  </si>
  <si>
    <t>[{"type":"status_code","operator":"equals","expected":415},{"type":"json","path":"$..msg","operator":"equals","expected":"文件类型不支持"}]</t>
  </si>
  <si>
    <t>内容校验</t>
  </si>
  <si>
    <t>上传空文件</t>
  </si>
  <si>
    <t>{"file":{"path":"./file/empty.txt","filename":"empty.txt","content_type":"text/plain"}}</t>
  </si>
  <si>
    <t>[{"type":"status_code","operator":"equals","expected":400},{"type":"json","path":"$..msg","operator":"equals","expected":"上传文件不能为空"}]</t>
  </si>
  <si>
    <t>上传没有扩展名的文件</t>
  </si>
  <si>
    <t>{"file":{"path":"./file/sample.txt","filename":"sample","content_type":"text/plain"}}</t>
  </si>
  <si>
    <t>大小写兼容</t>
  </si>
  <si>
    <t>上传大写JPG扩展名文件</t>
  </si>
  <si>
    <t>{"file":{"path":"./file/sample.jpg","filename":"SAMPLE.JPG","content_type":"image/jpeg"}}</t>
  </si>
  <si>
    <t>电商后台接口自动化测试用例概览</t>
  </si>
  <si>
    <t>指标</t>
  </si>
  <si>
    <t>数量</t>
  </si>
  <si>
    <t>用例总数</t>
  </si>
  <si>
    <t>执行用例</t>
  </si>
  <si>
    <t>模块数量</t>
  </si>
  <si>
    <t>用例数</t>
  </si>
  <si>
    <t>占比</t>
  </si>
  <si>
    <t>口径说明：100 条用例已通过本地 Mock 契约联调；该结果不等同于对原 api_server 生产/测试环境的验证。</t>
  </si>
  <si>
    <t>本地 Mock API 契约</t>
  </si>
  <si>
    <t>方法</t>
  </si>
  <si>
    <t>路径</t>
  </si>
  <si>
    <t>鉴权</t>
  </si>
  <si>
    <t>主要状态码</t>
  </si>
  <si>
    <t>说明</t>
  </si>
  <si>
    <t>环境</t>
  </si>
  <si>
    <t>GET</t>
  </si>
  <si>
    <t>否</t>
  </si>
  <si>
    <t>200</t>
  </si>
  <si>
    <t>服务健康检查</t>
  </si>
  <si>
    <t>POST</t>
  </si>
  <si>
    <t>重置内存测试数据</t>
  </si>
  <si>
    <t>登录</t>
  </si>
  <si>
    <t>200/400/401</t>
  </si>
  <si>
    <t>支持 form 与 JSON 登录</t>
  </si>
  <si>
    <t>用户</t>
  </si>
  <si>
    <t>GET/POST</t>
  </si>
  <si>
    <t>是</t>
  </si>
  <si>
    <t>200/201/400/401/409</t>
  </si>
  <si>
    <t>分页查询与新增用户</t>
  </si>
  <si>
    <t>GET/PUT/DELETE</t>
  </si>
  <si>
    <t>/users/{id}</t>
  </si>
  <si>
    <t>200/400/401/404</t>
  </si>
  <si>
    <t>用户详情、修改与删除</t>
  </si>
  <si>
    <t>PUT</t>
  </si>
  <si>
    <t>/users/{id}/state/{state}</t>
  </si>
  <si>
    <t>启用/禁用状态迁移</t>
  </si>
  <si>
    <t>分类</t>
  </si>
  <si>
    <t>分类查询与新增</t>
  </si>
  <si>
    <t>/categories/{id}</t>
  </si>
  <si>
    <t>200/400/401/404/409</t>
  </si>
  <si>
    <t>分类维护与关联校验</t>
  </si>
  <si>
    <t>商品</t>
  </si>
  <si>
    <t>商品分页、筛选与新增</t>
  </si>
  <si>
    <t>/products/{id}</t>
  </si>
  <si>
    <t>商品详情、修改与删除</t>
  </si>
  <si>
    <t>/products/{id}/state/{state}</t>
  </si>
  <si>
    <t>上下架状态迁移</t>
  </si>
  <si>
    <t>/products/{id}/stock</t>
  </si>
  <si>
    <t>库存调整及边界校验</t>
  </si>
  <si>
    <t>订单</t>
  </si>
  <si>
    <t>订单查询、创建和库存扣减</t>
  </si>
  <si>
    <t>GET/DELETE</t>
  </si>
  <si>
    <t>/orders/{id}</t>
  </si>
  <si>
    <t>订单详情与删除</t>
  </si>
  <si>
    <t>/orders/{id}/status/{status}</t>
  </si>
  <si>
    <t>订单状态机校验</t>
  </si>
  <si>
    <t>上传</t>
  </si>
  <si>
    <t>200/400/401/413/415</t>
  </si>
  <si>
    <t>文件类型、空文件与大小校验</t>
  </si>
  <si>
    <t>设计参考（公开资源）：https://dummyjson.com/docs ｜ https://shopify.dev/docs/api ｜ https://swagger.io/specification/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</si>
</sst>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9"/>
      <color rgb="FF1F2937"/>
      <name val="Carlito"/>
    </font>
    <font>
      <b/>
      <sz val="16"/>
      <color rgb="FFFFFFFF"/>
      <name val="Carlito"/>
    </font>
    <font>
      <sz val="12"/>
      <color rgb="FF1F2937"/>
      <name val="Carlito"/>
    </font>
    <font>
      <b/>
      <sz val="14"/>
      <color rgb="FF17365D"/>
      <name val="Carlito"/>
    </font>
    <font>
      <sz val="11"/>
      <color rgb="FF1F2937"/>
      <name val="Carlito"/>
    </font>
    <font>
      <i/>
      <sz val="11"/>
      <color rgb="FF7F6000"/>
      <name val="Carlito"/>
    </font>
    <font>
      <b/>
      <sz val="15"/>
      <color rgb="FFFFFFFF"/>
      <name val="Carlito"/>
    </font>
    <font>
      <i/>
      <sz val="11"/>
      <color rgb="FF475569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26">
    <border>
      <left/>
      <right/>
      <top/>
      <bottom/>
      <diagonal/>
    </border>
    <border>
      <left/>
      <right/>
      <top/>
      <bottom style="double">
        <color rgb="FF17365D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2">
    <xf numFmtId="0" fontId="0" fillId="0" borderId="0"/>
    <xf numFmtId="0" fontId="10" fillId="0" borderId="0"/>
  </cellStyleXfs>
  <cellXfs count="4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2" fillId="0" borderId="3" xfId="1" applyFont="1" applyBorder="1" applyAlignment="1">
      <alignment vertical="top" wrapText="1"/>
    </xf>
    <xf numFmtId="0" fontId="2" fillId="0" borderId="6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5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6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7" xfId="1" applyFont="1" applyBorder="1" applyAlignment="1">
      <alignment horizontal="center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10" xfId="1" applyFont="1" applyBorder="1" applyAlignment="1">
      <alignment horizontal="center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3" borderId="0" xfId="1" applyFont="1" applyFill="1" applyAlignment="1">
      <alignment horizontal="center"/>
    </xf>
    <xf numFmtId="0" fontId="4" fillId="4" borderId="11" xfId="1" applyFont="1" applyFill="1" applyBorder="1"/>
    <xf numFmtId="0" fontId="4" fillId="4" borderId="13" xfId="1" applyFont="1" applyFill="1" applyBorder="1"/>
    <xf numFmtId="0" fontId="4" fillId="4" borderId="15" xfId="1" applyFont="1" applyFill="1" applyBorder="1"/>
    <xf numFmtId="1" fontId="5" fillId="4" borderId="12" xfId="1" applyNumberFormat="1" applyFont="1" applyFill="1" applyBorder="1" applyAlignment="1">
      <alignment horizontal="center"/>
    </xf>
    <xf numFmtId="1" fontId="5" fillId="4" borderId="14" xfId="1" applyNumberFormat="1" applyFont="1" applyFill="1" applyBorder="1" applyAlignment="1">
      <alignment horizontal="center"/>
    </xf>
    <xf numFmtId="1" fontId="5" fillId="4" borderId="16" xfId="1" applyNumberFormat="1" applyFont="1" applyFill="1" applyBorder="1" applyAlignment="1">
      <alignment horizontal="center"/>
    </xf>
    <xf numFmtId="0" fontId="6" fillId="0" borderId="17" xfId="1" applyFont="1" applyBorder="1" applyAlignment="1">
      <alignment vertical="center"/>
    </xf>
    <xf numFmtId="0" fontId="6" fillId="0" borderId="18" xfId="1" applyFont="1" applyBorder="1" applyAlignment="1">
      <alignment vertical="center"/>
    </xf>
    <xf numFmtId="0" fontId="6" fillId="0" borderId="20" xfId="1" applyFont="1" applyBorder="1" applyAlignment="1">
      <alignment vertical="center"/>
    </xf>
    <xf numFmtId="0" fontId="6" fillId="0" borderId="21" xfId="1" applyFont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6" fillId="0" borderId="24" xfId="1" applyFont="1" applyBorder="1" applyAlignment="1">
      <alignment vertical="center"/>
    </xf>
    <xf numFmtId="9" fontId="6" fillId="0" borderId="19" xfId="1" applyNumberFormat="1" applyFont="1" applyBorder="1" applyAlignment="1">
      <alignment vertical="center"/>
    </xf>
    <xf numFmtId="9" fontId="6" fillId="0" borderId="22" xfId="1" applyNumberFormat="1" applyFont="1" applyBorder="1" applyAlignment="1">
      <alignment vertical="center"/>
    </xf>
    <xf numFmtId="9" fontId="6" fillId="0" borderId="25" xfId="1" applyNumberFormat="1" applyFont="1" applyBorder="1" applyAlignment="1">
      <alignment vertical="center"/>
    </xf>
    <xf numFmtId="0" fontId="6" fillId="0" borderId="17" xfId="1" applyFont="1" applyBorder="1" applyAlignment="1">
      <alignment vertical="top" wrapText="1"/>
    </xf>
    <xf numFmtId="0" fontId="6" fillId="0" borderId="18" xfId="1" applyFont="1" applyBorder="1" applyAlignment="1">
      <alignment vertical="top" wrapText="1"/>
    </xf>
    <xf numFmtId="0" fontId="6" fillId="0" borderId="19" xfId="1" applyFont="1" applyBorder="1" applyAlignment="1">
      <alignment vertical="top" wrapText="1"/>
    </xf>
    <xf numFmtId="0" fontId="6" fillId="0" borderId="20" xfId="1" applyFont="1" applyBorder="1" applyAlignment="1">
      <alignment vertical="top" wrapText="1"/>
    </xf>
    <xf numFmtId="0" fontId="6" fillId="0" borderId="21" xfId="1" applyFont="1" applyBorder="1" applyAlignment="1">
      <alignment vertical="top" wrapText="1"/>
    </xf>
    <xf numFmtId="0" fontId="6" fillId="0" borderId="22" xfId="1" applyFont="1" applyBorder="1" applyAlignment="1">
      <alignment vertical="top" wrapText="1"/>
    </xf>
    <xf numFmtId="0" fontId="6" fillId="0" borderId="23" xfId="1" applyFont="1" applyBorder="1" applyAlignment="1">
      <alignment vertical="top" wrapText="1"/>
    </xf>
    <xf numFmtId="0" fontId="6" fillId="0" borderId="24" xfId="1" applyFont="1" applyBorder="1" applyAlignment="1">
      <alignment vertical="top" wrapText="1"/>
    </xf>
    <xf numFmtId="0" fontId="6" fillId="0" borderId="25" xfId="1" applyFont="1" applyBorder="1" applyAlignment="1">
      <alignment vertical="top" wrapText="1"/>
    </xf>
    <xf numFmtId="0" fontId="3" fillId="2" borderId="0" xfId="1" applyFont="1" applyFill="1" applyAlignment="1">
      <alignment horizontal="left" vertical="center"/>
    </xf>
    <xf numFmtId="0" fontId="7" fillId="5" borderId="0" xfId="1" applyFont="1" applyFill="1" applyAlignment="1">
      <alignment vertical="center" wrapText="1"/>
    </xf>
    <xf numFmtId="0" fontId="8" fillId="2" borderId="0" xfId="1" applyFont="1" applyFill="1" applyAlignment="1">
      <alignment vertical="center"/>
    </xf>
    <xf numFmtId="0" fontId="9" fillId="6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375623"/>
      </font>
      <fill>
        <patternFill patternType="solid">
          <bgColor rgb="FFE2F0D9"/>
        </patternFill>
      </fill>
    </dxf>
    <dxf>
      <fill>
        <patternFill patternType="solid">
          <bgColor rgb="FFF8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803629b7fa184f56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showGridLines="0" tabSelected="1" workbookViewId="0">
      <selection activeCell="E10" sqref="E10"/>
    </sheetView>
  </sheetViews>
  <sheetFormatPr defaultRowHeight="14.25"/>
  <cols>
    <col min="1" max="1" width="7" customWidth="1"/>
    <col min="2" max="2" width="13" customWidth="1"/>
    <col min="3" max="3" width="14" customWidth="1"/>
    <col min="4" max="4" width="32" customWidth="1"/>
    <col min="5" max="5" width="18" customWidth="1"/>
    <col min="6" max="6" width="11" customWidth="1"/>
    <col min="7" max="7" width="29" customWidth="1"/>
    <col min="8" max="12" width="30" customWidth="1"/>
    <col min="13" max="13" width="54" customWidth="1"/>
    <col min="14" max="15" width="23" customWidth="1"/>
    <col min="16" max="16" width="10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4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ht="48" customHeight="1">
      <c r="A3" s="6">
        <v>1</v>
      </c>
      <c r="B3" s="3" t="s">
        <v>32</v>
      </c>
      <c r="C3" s="3" t="s">
        <v>33</v>
      </c>
      <c r="D3" s="3" t="s">
        <v>34</v>
      </c>
      <c r="E3" s="3"/>
      <c r="F3" s="9" t="s">
        <v>35</v>
      </c>
      <c r="G3" s="3" t="s">
        <v>36</v>
      </c>
      <c r="H3" s="3"/>
      <c r="I3" s="3"/>
      <c r="J3" s="3"/>
      <c r="K3" s="3"/>
      <c r="L3" s="3"/>
      <c r="M3" s="3" t="s">
        <v>37</v>
      </c>
      <c r="N3" s="3"/>
      <c r="O3" s="3"/>
      <c r="P3" s="12" t="b">
        <v>1</v>
      </c>
    </row>
    <row r="4" spans="1:16" ht="48" customHeight="1">
      <c r="A4" s="7">
        <v>2</v>
      </c>
      <c r="B4" s="4" t="s">
        <v>32</v>
      </c>
      <c r="C4" s="4" t="s">
        <v>38</v>
      </c>
      <c r="D4" s="4" t="s">
        <v>39</v>
      </c>
      <c r="E4" s="4"/>
      <c r="F4" s="10" t="s">
        <v>40</v>
      </c>
      <c r="G4" s="4" t="s">
        <v>41</v>
      </c>
      <c r="H4" s="4"/>
      <c r="I4" s="4"/>
      <c r="J4" s="4"/>
      <c r="K4" s="4"/>
      <c r="L4" s="4"/>
      <c r="M4" s="4" t="s">
        <v>42</v>
      </c>
      <c r="N4" s="4"/>
      <c r="O4" s="4"/>
      <c r="P4" s="13" t="b">
        <v>1</v>
      </c>
    </row>
    <row r="5" spans="1:16" ht="48" customHeight="1">
      <c r="A5" s="7">
        <v>3</v>
      </c>
      <c r="B5" s="4" t="s">
        <v>32</v>
      </c>
      <c r="C5" s="4" t="s">
        <v>43</v>
      </c>
      <c r="D5" s="4" t="s">
        <v>44</v>
      </c>
      <c r="E5" s="4"/>
      <c r="F5" s="10" t="s">
        <v>40</v>
      </c>
      <c r="G5" s="4" t="s">
        <v>45</v>
      </c>
      <c r="H5" s="4"/>
      <c r="I5" s="4"/>
      <c r="J5" s="4"/>
      <c r="K5" s="4"/>
      <c r="L5" s="4"/>
      <c r="M5" s="4" t="s">
        <v>46</v>
      </c>
      <c r="N5" s="4"/>
      <c r="O5" s="4"/>
      <c r="P5" s="13" t="b">
        <v>1</v>
      </c>
    </row>
    <row r="6" spans="1:16" ht="48" customHeight="1">
      <c r="A6" s="7">
        <v>4</v>
      </c>
      <c r="B6" s="4" t="s">
        <v>47</v>
      </c>
      <c r="C6" s="4" t="s">
        <v>48</v>
      </c>
      <c r="D6" s="4" t="s">
        <v>49</v>
      </c>
      <c r="E6" s="4"/>
      <c r="F6" s="10" t="s">
        <v>35</v>
      </c>
      <c r="G6" s="4" t="s">
        <v>50</v>
      </c>
      <c r="H6" s="4"/>
      <c r="I6" s="4"/>
      <c r="J6" s="4" t="s">
        <v>51</v>
      </c>
      <c r="K6" s="4"/>
      <c r="L6" s="4"/>
      <c r="M6" s="4" t="s">
        <v>52</v>
      </c>
      <c r="N6" s="4" t="s">
        <v>53</v>
      </c>
      <c r="O6" s="4"/>
      <c r="P6" s="13" t="b">
        <v>1</v>
      </c>
    </row>
    <row r="7" spans="1:16" ht="48" customHeight="1">
      <c r="A7" s="7">
        <v>5</v>
      </c>
      <c r="B7" s="4" t="s">
        <v>47</v>
      </c>
      <c r="C7" s="4" t="s">
        <v>48</v>
      </c>
      <c r="D7" s="4" t="s">
        <v>54</v>
      </c>
      <c r="E7" s="4"/>
      <c r="F7" s="10" t="s">
        <v>35</v>
      </c>
      <c r="G7" s="4" t="s">
        <v>50</v>
      </c>
      <c r="H7" s="4"/>
      <c r="I7" s="4"/>
      <c r="J7" s="4"/>
      <c r="K7" s="4" t="s">
        <v>51</v>
      </c>
      <c r="L7" s="4"/>
      <c r="M7" s="4" t="s">
        <v>52</v>
      </c>
      <c r="N7" s="4"/>
      <c r="O7" s="4"/>
      <c r="P7" s="13" t="b">
        <v>1</v>
      </c>
    </row>
    <row r="8" spans="1:16" ht="48" customHeight="1">
      <c r="A8" s="7">
        <v>6</v>
      </c>
      <c r="B8" s="4" t="s">
        <v>47</v>
      </c>
      <c r="C8" s="4" t="s">
        <v>55</v>
      </c>
      <c r="D8" s="4" t="s">
        <v>56</v>
      </c>
      <c r="E8" s="4"/>
      <c r="F8" s="10" t="s">
        <v>35</v>
      </c>
      <c r="G8" s="4" t="s">
        <v>50</v>
      </c>
      <c r="H8" s="4"/>
      <c r="I8" s="4"/>
      <c r="J8" s="4" t="s">
        <v>57</v>
      </c>
      <c r="K8" s="4"/>
      <c r="L8" s="4"/>
      <c r="M8" s="4" t="s">
        <v>58</v>
      </c>
      <c r="N8" s="4"/>
      <c r="O8" s="4"/>
      <c r="P8" s="13" t="b">
        <v>1</v>
      </c>
    </row>
    <row r="9" spans="1:16" ht="48" customHeight="1">
      <c r="A9" s="7">
        <v>7</v>
      </c>
      <c r="B9" s="4" t="s">
        <v>47</v>
      </c>
      <c r="C9" s="4" t="s">
        <v>55</v>
      </c>
      <c r="D9" s="4" t="s">
        <v>59</v>
      </c>
      <c r="E9" s="4"/>
      <c r="F9" s="10" t="s">
        <v>35</v>
      </c>
      <c r="G9" s="4" t="s">
        <v>50</v>
      </c>
      <c r="H9" s="4"/>
      <c r="I9" s="4"/>
      <c r="J9" s="4" t="s">
        <v>60</v>
      </c>
      <c r="K9" s="4"/>
      <c r="L9" s="4"/>
      <c r="M9" s="4" t="s">
        <v>58</v>
      </c>
      <c r="N9" s="4"/>
      <c r="O9" s="4"/>
      <c r="P9" s="13" t="b">
        <v>1</v>
      </c>
    </row>
    <row r="10" spans="1:16" ht="48" customHeight="1">
      <c r="A10" s="7">
        <v>8</v>
      </c>
      <c r="B10" s="4" t="s">
        <v>47</v>
      </c>
      <c r="C10" s="4" t="s">
        <v>55</v>
      </c>
      <c r="D10" s="4" t="s">
        <v>61</v>
      </c>
      <c r="E10" s="4"/>
      <c r="F10" s="10" t="s">
        <v>35</v>
      </c>
      <c r="G10" s="4" t="s">
        <v>50</v>
      </c>
      <c r="H10" s="4"/>
      <c r="I10" s="4"/>
      <c r="J10" s="4" t="s">
        <v>62</v>
      </c>
      <c r="K10" s="4"/>
      <c r="L10" s="4"/>
      <c r="M10" s="4" t="s">
        <v>58</v>
      </c>
      <c r="N10" s="4"/>
      <c r="O10" s="4"/>
      <c r="P10" s="13" t="b">
        <v>1</v>
      </c>
    </row>
    <row r="11" spans="1:16" ht="48" customHeight="1">
      <c r="A11" s="7">
        <v>9</v>
      </c>
      <c r="B11" s="4" t="s">
        <v>47</v>
      </c>
      <c r="C11" s="4" t="s">
        <v>55</v>
      </c>
      <c r="D11" s="4" t="s">
        <v>63</v>
      </c>
      <c r="E11" s="4"/>
      <c r="F11" s="10" t="s">
        <v>35</v>
      </c>
      <c r="G11" s="4" t="s">
        <v>50</v>
      </c>
      <c r="H11" s="4"/>
      <c r="I11" s="4"/>
      <c r="J11" s="4" t="s">
        <v>64</v>
      </c>
      <c r="K11" s="4"/>
      <c r="L11" s="4"/>
      <c r="M11" s="4" t="s">
        <v>65</v>
      </c>
      <c r="N11" s="4"/>
      <c r="O11" s="4"/>
      <c r="P11" s="13" t="b">
        <v>1</v>
      </c>
    </row>
    <row r="12" spans="1:16" ht="48" customHeight="1">
      <c r="A12" s="7">
        <v>10</v>
      </c>
      <c r="B12" s="4" t="s">
        <v>47</v>
      </c>
      <c r="C12" s="4" t="s">
        <v>66</v>
      </c>
      <c r="D12" s="4" t="s">
        <v>67</v>
      </c>
      <c r="E12" s="4"/>
      <c r="F12" s="10" t="s">
        <v>35</v>
      </c>
      <c r="G12" s="4" t="s">
        <v>50</v>
      </c>
      <c r="H12" s="4"/>
      <c r="I12" s="4"/>
      <c r="J12" s="4" t="s">
        <v>68</v>
      </c>
      <c r="K12" s="4"/>
      <c r="L12" s="4"/>
      <c r="M12" s="4" t="s">
        <v>69</v>
      </c>
      <c r="N12" s="4"/>
      <c r="O12" s="4"/>
      <c r="P12" s="13" t="b">
        <v>1</v>
      </c>
    </row>
    <row r="13" spans="1:16" ht="48" customHeight="1">
      <c r="A13" s="7">
        <v>11</v>
      </c>
      <c r="B13" s="4" t="s">
        <v>47</v>
      </c>
      <c r="C13" s="4" t="s">
        <v>66</v>
      </c>
      <c r="D13" s="4" t="s">
        <v>70</v>
      </c>
      <c r="E13" s="4"/>
      <c r="F13" s="10" t="s">
        <v>35</v>
      </c>
      <c r="G13" s="4" t="s">
        <v>50</v>
      </c>
      <c r="H13" s="4"/>
      <c r="I13" s="4"/>
      <c r="J13" s="4" t="s">
        <v>71</v>
      </c>
      <c r="K13" s="4"/>
      <c r="L13" s="4"/>
      <c r="M13" s="4" t="s">
        <v>69</v>
      </c>
      <c r="N13" s="4"/>
      <c r="O13" s="4"/>
      <c r="P13" s="13" t="b">
        <v>1</v>
      </c>
    </row>
    <row r="14" spans="1:16" ht="48" customHeight="1">
      <c r="A14" s="7">
        <v>12</v>
      </c>
      <c r="B14" s="4" t="s">
        <v>47</v>
      </c>
      <c r="C14" s="4" t="s">
        <v>72</v>
      </c>
      <c r="D14" s="4" t="s">
        <v>73</v>
      </c>
      <c r="E14" s="4"/>
      <c r="F14" s="10" t="s">
        <v>40</v>
      </c>
      <c r="G14" s="4" t="s">
        <v>50</v>
      </c>
      <c r="H14" s="4"/>
      <c r="I14" s="4"/>
      <c r="J14" s="4"/>
      <c r="K14" s="4"/>
      <c r="L14" s="4"/>
      <c r="M14" s="4" t="s">
        <v>74</v>
      </c>
      <c r="N14" s="4"/>
      <c r="O14" s="4"/>
      <c r="P14" s="13" t="b">
        <v>1</v>
      </c>
    </row>
    <row r="15" spans="1:16" ht="48" customHeight="1">
      <c r="A15" s="7">
        <v>13</v>
      </c>
      <c r="B15" s="4" t="s">
        <v>47</v>
      </c>
      <c r="C15" s="4" t="s">
        <v>75</v>
      </c>
      <c r="D15" s="4" t="s">
        <v>76</v>
      </c>
      <c r="E15" s="4"/>
      <c r="F15" s="10" t="s">
        <v>40</v>
      </c>
      <c r="G15" s="4" t="s">
        <v>77</v>
      </c>
      <c r="H15" s="4"/>
      <c r="I15" s="4"/>
      <c r="J15" s="4"/>
      <c r="K15" s="4"/>
      <c r="L15" s="4"/>
      <c r="M15" s="4" t="s">
        <v>78</v>
      </c>
      <c r="N15" s="4"/>
      <c r="O15" s="4"/>
      <c r="P15" s="13" t="b">
        <v>1</v>
      </c>
    </row>
    <row r="16" spans="1:16" ht="48" customHeight="1">
      <c r="A16" s="7">
        <v>14</v>
      </c>
      <c r="B16" s="4" t="s">
        <v>47</v>
      </c>
      <c r="C16" s="4" t="s">
        <v>75</v>
      </c>
      <c r="D16" s="4" t="s">
        <v>79</v>
      </c>
      <c r="E16" s="4"/>
      <c r="F16" s="10" t="s">
        <v>40</v>
      </c>
      <c r="G16" s="4" t="s">
        <v>77</v>
      </c>
      <c r="H16" s="4" t="s">
        <v>80</v>
      </c>
      <c r="I16" s="4"/>
      <c r="J16" s="4"/>
      <c r="K16" s="4"/>
      <c r="L16" s="4"/>
      <c r="M16" s="4" t="s">
        <v>78</v>
      </c>
      <c r="N16" s="4"/>
      <c r="O16" s="4"/>
      <c r="P16" s="13" t="b">
        <v>1</v>
      </c>
    </row>
    <row r="17" spans="1:16" ht="48" customHeight="1">
      <c r="A17" s="7">
        <v>15</v>
      </c>
      <c r="B17" s="4" t="s">
        <v>47</v>
      </c>
      <c r="C17" s="4" t="s">
        <v>75</v>
      </c>
      <c r="D17" s="4" t="s">
        <v>81</v>
      </c>
      <c r="E17" s="4" t="s">
        <v>82</v>
      </c>
      <c r="F17" s="10" t="s">
        <v>40</v>
      </c>
      <c r="G17" s="4" t="s">
        <v>77</v>
      </c>
      <c r="H17" s="4" t="s">
        <v>83</v>
      </c>
      <c r="I17" s="4"/>
      <c r="J17" s="4"/>
      <c r="K17" s="4"/>
      <c r="L17" s="4"/>
      <c r="M17" s="4" t="s">
        <v>84</v>
      </c>
      <c r="N17" s="4"/>
      <c r="O17" s="4"/>
      <c r="P17" s="13" t="b">
        <v>1</v>
      </c>
    </row>
    <row r="18" spans="1:16" ht="48" customHeight="1">
      <c r="A18" s="7">
        <v>16</v>
      </c>
      <c r="B18" s="4" t="s">
        <v>85</v>
      </c>
      <c r="C18" s="4" t="s">
        <v>86</v>
      </c>
      <c r="D18" s="4" t="s">
        <v>87</v>
      </c>
      <c r="E18" s="4" t="s">
        <v>82</v>
      </c>
      <c r="F18" s="10" t="s">
        <v>40</v>
      </c>
      <c r="G18" s="4" t="s">
        <v>77</v>
      </c>
      <c r="H18" s="4" t="s">
        <v>88</v>
      </c>
      <c r="I18" s="4" t="s">
        <v>89</v>
      </c>
      <c r="J18" s="4"/>
      <c r="K18" s="4"/>
      <c r="L18" s="4"/>
      <c r="M18" s="4" t="s">
        <v>84</v>
      </c>
      <c r="N18" s="4"/>
      <c r="O18" s="4"/>
      <c r="P18" s="13" t="b">
        <v>1</v>
      </c>
    </row>
    <row r="19" spans="1:16" ht="48" customHeight="1">
      <c r="A19" s="7">
        <v>17</v>
      </c>
      <c r="B19" s="4" t="s">
        <v>85</v>
      </c>
      <c r="C19" s="4" t="s">
        <v>90</v>
      </c>
      <c r="D19" s="4" t="s">
        <v>91</v>
      </c>
      <c r="E19" s="4" t="s">
        <v>82</v>
      </c>
      <c r="F19" s="10" t="s">
        <v>40</v>
      </c>
      <c r="G19" s="4" t="s">
        <v>77</v>
      </c>
      <c r="H19" s="4" t="s">
        <v>88</v>
      </c>
      <c r="I19" s="4" t="s">
        <v>92</v>
      </c>
      <c r="J19" s="4"/>
      <c r="K19" s="4"/>
      <c r="L19" s="4"/>
      <c r="M19" s="4" t="s">
        <v>84</v>
      </c>
      <c r="N19" s="4"/>
      <c r="O19" s="4"/>
      <c r="P19" s="13" t="b">
        <v>1</v>
      </c>
    </row>
    <row r="20" spans="1:16" ht="48" customHeight="1">
      <c r="A20" s="7">
        <v>18</v>
      </c>
      <c r="B20" s="4" t="s">
        <v>85</v>
      </c>
      <c r="C20" s="4" t="s">
        <v>93</v>
      </c>
      <c r="D20" s="4" t="s">
        <v>94</v>
      </c>
      <c r="E20" s="4" t="s">
        <v>82</v>
      </c>
      <c r="F20" s="10" t="s">
        <v>40</v>
      </c>
      <c r="G20" s="4" t="s">
        <v>77</v>
      </c>
      <c r="H20" s="4" t="s">
        <v>88</v>
      </c>
      <c r="I20" s="4" t="s">
        <v>95</v>
      </c>
      <c r="J20" s="4"/>
      <c r="K20" s="4"/>
      <c r="L20" s="4"/>
      <c r="M20" s="4" t="s">
        <v>96</v>
      </c>
      <c r="N20" s="4"/>
      <c r="O20" s="4"/>
      <c r="P20" s="13" t="b">
        <v>1</v>
      </c>
    </row>
    <row r="21" spans="1:16" ht="48" customHeight="1">
      <c r="A21" s="7">
        <v>19</v>
      </c>
      <c r="B21" s="4" t="s">
        <v>85</v>
      </c>
      <c r="C21" s="4" t="s">
        <v>93</v>
      </c>
      <c r="D21" s="4" t="s">
        <v>97</v>
      </c>
      <c r="E21" s="4" t="s">
        <v>82</v>
      </c>
      <c r="F21" s="10" t="s">
        <v>40</v>
      </c>
      <c r="G21" s="4" t="s">
        <v>77</v>
      </c>
      <c r="H21" s="4" t="s">
        <v>88</v>
      </c>
      <c r="I21" s="4" t="s">
        <v>98</v>
      </c>
      <c r="J21" s="4"/>
      <c r="K21" s="4"/>
      <c r="L21" s="4"/>
      <c r="M21" s="4" t="s">
        <v>96</v>
      </c>
      <c r="N21" s="4"/>
      <c r="O21" s="4"/>
      <c r="P21" s="13" t="b">
        <v>1</v>
      </c>
    </row>
    <row r="22" spans="1:16" ht="48" customHeight="1">
      <c r="A22" s="7">
        <v>20</v>
      </c>
      <c r="B22" s="4" t="s">
        <v>85</v>
      </c>
      <c r="C22" s="4" t="s">
        <v>99</v>
      </c>
      <c r="D22" s="4" t="s">
        <v>100</v>
      </c>
      <c r="E22" s="4" t="s">
        <v>82</v>
      </c>
      <c r="F22" s="10" t="s">
        <v>40</v>
      </c>
      <c r="G22" s="4" t="s">
        <v>77</v>
      </c>
      <c r="H22" s="4" t="s">
        <v>88</v>
      </c>
      <c r="I22" s="4" t="s">
        <v>101</v>
      </c>
      <c r="J22" s="4"/>
      <c r="K22" s="4"/>
      <c r="L22" s="4"/>
      <c r="M22" s="4" t="s">
        <v>84</v>
      </c>
      <c r="N22" s="4"/>
      <c r="O22" s="4"/>
      <c r="P22" s="13" t="b">
        <v>1</v>
      </c>
    </row>
    <row r="23" spans="1:16" ht="48" customHeight="1">
      <c r="A23" s="7">
        <v>21</v>
      </c>
      <c r="B23" s="4" t="s">
        <v>85</v>
      </c>
      <c r="C23" s="4" t="s">
        <v>102</v>
      </c>
      <c r="D23" s="4" t="s">
        <v>103</v>
      </c>
      <c r="E23" s="4" t="s">
        <v>82</v>
      </c>
      <c r="F23" s="10" t="s">
        <v>40</v>
      </c>
      <c r="G23" s="4" t="s">
        <v>77</v>
      </c>
      <c r="H23" s="4" t="s">
        <v>88</v>
      </c>
      <c r="I23" s="4" t="s">
        <v>104</v>
      </c>
      <c r="J23" s="4"/>
      <c r="K23" s="4"/>
      <c r="L23" s="4"/>
      <c r="M23" s="4" t="s">
        <v>84</v>
      </c>
      <c r="N23" s="4"/>
      <c r="O23" s="4"/>
      <c r="P23" s="13" t="b">
        <v>1</v>
      </c>
    </row>
    <row r="24" spans="1:16" ht="48" customHeight="1">
      <c r="A24" s="7">
        <v>22</v>
      </c>
      <c r="B24" s="4" t="s">
        <v>85</v>
      </c>
      <c r="C24" s="4" t="s">
        <v>102</v>
      </c>
      <c r="D24" s="4" t="s">
        <v>105</v>
      </c>
      <c r="E24" s="4" t="s">
        <v>82</v>
      </c>
      <c r="F24" s="10" t="s">
        <v>40</v>
      </c>
      <c r="G24" s="4" t="s">
        <v>77</v>
      </c>
      <c r="H24" s="4" t="s">
        <v>88</v>
      </c>
      <c r="I24" s="4" t="s">
        <v>106</v>
      </c>
      <c r="J24" s="4"/>
      <c r="K24" s="4"/>
      <c r="L24" s="4"/>
      <c r="M24" s="4" t="s">
        <v>84</v>
      </c>
      <c r="N24" s="4"/>
      <c r="O24" s="4"/>
      <c r="P24" s="13" t="b">
        <v>1</v>
      </c>
    </row>
    <row r="25" spans="1:16" ht="48" customHeight="1">
      <c r="A25" s="7">
        <v>23</v>
      </c>
      <c r="B25" s="4" t="s">
        <v>85</v>
      </c>
      <c r="C25" s="4" t="s">
        <v>107</v>
      </c>
      <c r="D25" s="4" t="s">
        <v>108</v>
      </c>
      <c r="E25" s="4" t="s">
        <v>82</v>
      </c>
      <c r="F25" s="10" t="s">
        <v>40</v>
      </c>
      <c r="G25" s="4" t="s">
        <v>77</v>
      </c>
      <c r="H25" s="4" t="s">
        <v>88</v>
      </c>
      <c r="I25" s="4" t="s">
        <v>109</v>
      </c>
      <c r="J25" s="4"/>
      <c r="K25" s="4"/>
      <c r="L25" s="4"/>
      <c r="M25" s="4" t="s">
        <v>110</v>
      </c>
      <c r="N25" s="4"/>
      <c r="O25" s="4"/>
      <c r="P25" s="13" t="b">
        <v>1</v>
      </c>
    </row>
    <row r="26" spans="1:16" ht="48" customHeight="1">
      <c r="A26" s="7">
        <v>24</v>
      </c>
      <c r="B26" s="4" t="s">
        <v>85</v>
      </c>
      <c r="C26" s="4" t="s">
        <v>111</v>
      </c>
      <c r="D26" s="4" t="s">
        <v>112</v>
      </c>
      <c r="E26" s="4" t="s">
        <v>82</v>
      </c>
      <c r="F26" s="10" t="s">
        <v>35</v>
      </c>
      <c r="G26" s="4" t="s">
        <v>77</v>
      </c>
      <c r="H26" s="4" t="s">
        <v>88</v>
      </c>
      <c r="I26" s="4"/>
      <c r="J26" s="4"/>
      <c r="K26" s="4" t="s">
        <v>113</v>
      </c>
      <c r="L26" s="4"/>
      <c r="M26" s="4" t="s">
        <v>114</v>
      </c>
      <c r="N26" s="4" t="s">
        <v>115</v>
      </c>
      <c r="O26" s="4"/>
      <c r="P26" s="13" t="b">
        <v>1</v>
      </c>
    </row>
    <row r="27" spans="1:16" ht="48" customHeight="1">
      <c r="A27" s="7">
        <v>25</v>
      </c>
      <c r="B27" s="4" t="s">
        <v>85</v>
      </c>
      <c r="C27" s="4" t="s">
        <v>116</v>
      </c>
      <c r="D27" s="4" t="s">
        <v>117</v>
      </c>
      <c r="E27" s="4" t="s">
        <v>82</v>
      </c>
      <c r="F27" s="10" t="s">
        <v>35</v>
      </c>
      <c r="G27" s="4" t="s">
        <v>77</v>
      </c>
      <c r="H27" s="4" t="s">
        <v>88</v>
      </c>
      <c r="I27" s="4"/>
      <c r="J27" s="4"/>
      <c r="K27" s="4" t="s">
        <v>118</v>
      </c>
      <c r="L27" s="4"/>
      <c r="M27" s="4" t="s">
        <v>119</v>
      </c>
      <c r="N27" s="4"/>
      <c r="O27" s="4"/>
      <c r="P27" s="13" t="b">
        <v>1</v>
      </c>
    </row>
    <row r="28" spans="1:16" ht="48" customHeight="1">
      <c r="A28" s="7">
        <v>26</v>
      </c>
      <c r="B28" s="4" t="s">
        <v>85</v>
      </c>
      <c r="C28" s="4" t="s">
        <v>55</v>
      </c>
      <c r="D28" s="4" t="s">
        <v>120</v>
      </c>
      <c r="E28" s="4" t="s">
        <v>82</v>
      </c>
      <c r="F28" s="10" t="s">
        <v>35</v>
      </c>
      <c r="G28" s="4" t="s">
        <v>77</v>
      </c>
      <c r="H28" s="4" t="s">
        <v>88</v>
      </c>
      <c r="I28" s="4"/>
      <c r="J28" s="4"/>
      <c r="K28" s="4" t="s">
        <v>57</v>
      </c>
      <c r="L28" s="4"/>
      <c r="M28" s="4" t="s">
        <v>58</v>
      </c>
      <c r="N28" s="4"/>
      <c r="O28" s="4"/>
      <c r="P28" s="13" t="b">
        <v>1</v>
      </c>
    </row>
    <row r="29" spans="1:16" ht="48" customHeight="1">
      <c r="A29" s="7">
        <v>27</v>
      </c>
      <c r="B29" s="4" t="s">
        <v>85</v>
      </c>
      <c r="C29" s="4" t="s">
        <v>55</v>
      </c>
      <c r="D29" s="4" t="s">
        <v>121</v>
      </c>
      <c r="E29" s="4" t="s">
        <v>82</v>
      </c>
      <c r="F29" s="10" t="s">
        <v>35</v>
      </c>
      <c r="G29" s="4" t="s">
        <v>77</v>
      </c>
      <c r="H29" s="4" t="s">
        <v>88</v>
      </c>
      <c r="I29" s="4"/>
      <c r="J29" s="4"/>
      <c r="K29" s="4" t="s">
        <v>122</v>
      </c>
      <c r="L29" s="4"/>
      <c r="M29" s="4" t="s">
        <v>65</v>
      </c>
      <c r="N29" s="4"/>
      <c r="O29" s="4"/>
      <c r="P29" s="13" t="b">
        <v>1</v>
      </c>
    </row>
    <row r="30" spans="1:16" ht="48" customHeight="1">
      <c r="A30" s="7">
        <v>28</v>
      </c>
      <c r="B30" s="4" t="s">
        <v>85</v>
      </c>
      <c r="C30" s="4" t="s">
        <v>123</v>
      </c>
      <c r="D30" s="4" t="s">
        <v>124</v>
      </c>
      <c r="E30" s="4" t="s">
        <v>82</v>
      </c>
      <c r="F30" s="10" t="s">
        <v>35</v>
      </c>
      <c r="G30" s="4" t="s">
        <v>77</v>
      </c>
      <c r="H30" s="4" t="s">
        <v>88</v>
      </c>
      <c r="I30" s="4"/>
      <c r="J30" s="4"/>
      <c r="K30" s="4" t="s">
        <v>125</v>
      </c>
      <c r="L30" s="4"/>
      <c r="M30" s="4" t="s">
        <v>126</v>
      </c>
      <c r="N30" s="4"/>
      <c r="O30" s="4"/>
      <c r="P30" s="13" t="b">
        <v>1</v>
      </c>
    </row>
    <row r="31" spans="1:16" ht="48" customHeight="1">
      <c r="A31" s="7">
        <v>29</v>
      </c>
      <c r="B31" s="4" t="s">
        <v>85</v>
      </c>
      <c r="C31" s="4" t="s">
        <v>127</v>
      </c>
      <c r="D31" s="4" t="s">
        <v>128</v>
      </c>
      <c r="E31" s="4" t="s">
        <v>129</v>
      </c>
      <c r="F31" s="10" t="s">
        <v>40</v>
      </c>
      <c r="G31" s="4" t="s">
        <v>130</v>
      </c>
      <c r="H31" s="4" t="s">
        <v>88</v>
      </c>
      <c r="I31" s="4"/>
      <c r="J31" s="4"/>
      <c r="K31" s="4"/>
      <c r="L31" s="4"/>
      <c r="M31" s="4" t="s">
        <v>131</v>
      </c>
      <c r="N31" s="4"/>
      <c r="O31" s="4"/>
      <c r="P31" s="13" t="b">
        <v>1</v>
      </c>
    </row>
    <row r="32" spans="1:16" ht="48" customHeight="1">
      <c r="A32" s="7">
        <v>30</v>
      </c>
      <c r="B32" s="4" t="s">
        <v>85</v>
      </c>
      <c r="C32" s="4" t="s">
        <v>127</v>
      </c>
      <c r="D32" s="4" t="s">
        <v>132</v>
      </c>
      <c r="E32" s="4" t="s">
        <v>82</v>
      </c>
      <c r="F32" s="10" t="s">
        <v>40</v>
      </c>
      <c r="G32" s="4" t="s">
        <v>133</v>
      </c>
      <c r="H32" s="4" t="s">
        <v>88</v>
      </c>
      <c r="I32" s="4"/>
      <c r="J32" s="4"/>
      <c r="K32" s="4"/>
      <c r="L32" s="4"/>
      <c r="M32" s="4" t="s">
        <v>134</v>
      </c>
      <c r="N32" s="4"/>
      <c r="O32" s="4"/>
      <c r="P32" s="13" t="b">
        <v>1</v>
      </c>
    </row>
    <row r="33" spans="1:16" ht="48" customHeight="1">
      <c r="A33" s="7">
        <v>31</v>
      </c>
      <c r="B33" s="4" t="s">
        <v>85</v>
      </c>
      <c r="C33" s="4" t="s">
        <v>135</v>
      </c>
      <c r="D33" s="4" t="s">
        <v>136</v>
      </c>
      <c r="E33" s="4" t="s">
        <v>129</v>
      </c>
      <c r="F33" s="10" t="s">
        <v>137</v>
      </c>
      <c r="G33" s="4" t="s">
        <v>130</v>
      </c>
      <c r="H33" s="4" t="s">
        <v>88</v>
      </c>
      <c r="I33" s="4"/>
      <c r="J33" s="4"/>
      <c r="K33" s="4" t="s">
        <v>138</v>
      </c>
      <c r="L33" s="4"/>
      <c r="M33" s="4" t="s">
        <v>139</v>
      </c>
      <c r="N33" s="4"/>
      <c r="O33" s="4"/>
      <c r="P33" s="13" t="b">
        <v>1</v>
      </c>
    </row>
    <row r="34" spans="1:16" ht="48" customHeight="1">
      <c r="A34" s="7">
        <v>32</v>
      </c>
      <c r="B34" s="4" t="s">
        <v>85</v>
      </c>
      <c r="C34" s="4" t="s">
        <v>55</v>
      </c>
      <c r="D34" s="4" t="s">
        <v>140</v>
      </c>
      <c r="E34" s="4" t="s">
        <v>129</v>
      </c>
      <c r="F34" s="10" t="s">
        <v>137</v>
      </c>
      <c r="G34" s="4" t="s">
        <v>130</v>
      </c>
      <c r="H34" s="4" t="s">
        <v>88</v>
      </c>
      <c r="I34" s="4"/>
      <c r="J34" s="4"/>
      <c r="K34" s="4" t="s">
        <v>141</v>
      </c>
      <c r="L34" s="4"/>
      <c r="M34" s="4" t="s">
        <v>142</v>
      </c>
      <c r="N34" s="4"/>
      <c r="O34" s="4"/>
      <c r="P34" s="13" t="b">
        <v>1</v>
      </c>
    </row>
    <row r="35" spans="1:16" ht="48" customHeight="1">
      <c r="A35" s="7">
        <v>33</v>
      </c>
      <c r="B35" s="4" t="s">
        <v>85</v>
      </c>
      <c r="C35" s="4" t="s">
        <v>143</v>
      </c>
      <c r="D35" s="4" t="s">
        <v>144</v>
      </c>
      <c r="E35" s="4" t="s">
        <v>129</v>
      </c>
      <c r="F35" s="10" t="s">
        <v>137</v>
      </c>
      <c r="G35" s="4" t="s">
        <v>145</v>
      </c>
      <c r="H35" s="4" t="s">
        <v>88</v>
      </c>
      <c r="I35" s="4"/>
      <c r="J35" s="4"/>
      <c r="K35" s="4"/>
      <c r="L35" s="4"/>
      <c r="M35" s="4" t="s">
        <v>146</v>
      </c>
      <c r="N35" s="4"/>
      <c r="O35" s="4"/>
      <c r="P35" s="13" t="b">
        <v>1</v>
      </c>
    </row>
    <row r="36" spans="1:16" ht="48" customHeight="1">
      <c r="A36" s="7">
        <v>34</v>
      </c>
      <c r="B36" s="4" t="s">
        <v>85</v>
      </c>
      <c r="C36" s="4" t="s">
        <v>107</v>
      </c>
      <c r="D36" s="4" t="s">
        <v>147</v>
      </c>
      <c r="E36" s="4" t="s">
        <v>129</v>
      </c>
      <c r="F36" s="10" t="s">
        <v>137</v>
      </c>
      <c r="G36" s="4" t="s">
        <v>148</v>
      </c>
      <c r="H36" s="4" t="s">
        <v>88</v>
      </c>
      <c r="I36" s="4"/>
      <c r="J36" s="4"/>
      <c r="K36" s="4"/>
      <c r="L36" s="4"/>
      <c r="M36" s="4" t="s">
        <v>110</v>
      </c>
      <c r="N36" s="4"/>
      <c r="O36" s="4"/>
      <c r="P36" s="13" t="b">
        <v>1</v>
      </c>
    </row>
    <row r="37" spans="1:16" ht="48" customHeight="1">
      <c r="A37" s="7">
        <v>35</v>
      </c>
      <c r="B37" s="4" t="s">
        <v>85</v>
      </c>
      <c r="C37" s="4" t="s">
        <v>149</v>
      </c>
      <c r="D37" s="4" t="s">
        <v>150</v>
      </c>
      <c r="E37" s="4" t="s">
        <v>129</v>
      </c>
      <c r="F37" s="10" t="s">
        <v>151</v>
      </c>
      <c r="G37" s="4" t="s">
        <v>130</v>
      </c>
      <c r="H37" s="4" t="s">
        <v>88</v>
      </c>
      <c r="I37" s="4"/>
      <c r="J37" s="4"/>
      <c r="K37" s="4"/>
      <c r="L37" s="4"/>
      <c r="M37" s="4" t="s">
        <v>152</v>
      </c>
      <c r="N37" s="4"/>
      <c r="O37" s="4"/>
      <c r="P37" s="13" t="b">
        <v>1</v>
      </c>
    </row>
    <row r="38" spans="1:16" ht="48" customHeight="1">
      <c r="A38" s="7">
        <v>36</v>
      </c>
      <c r="B38" s="4" t="s">
        <v>153</v>
      </c>
      <c r="C38" s="4" t="s">
        <v>86</v>
      </c>
      <c r="D38" s="4" t="s">
        <v>154</v>
      </c>
      <c r="E38" s="4" t="s">
        <v>82</v>
      </c>
      <c r="F38" s="10" t="s">
        <v>40</v>
      </c>
      <c r="G38" s="4" t="s">
        <v>155</v>
      </c>
      <c r="H38" s="4" t="s">
        <v>88</v>
      </c>
      <c r="I38" s="4" t="s">
        <v>89</v>
      </c>
      <c r="J38" s="4"/>
      <c r="K38" s="4"/>
      <c r="L38" s="4"/>
      <c r="M38" s="4" t="s">
        <v>156</v>
      </c>
      <c r="N38" s="4"/>
      <c r="O38" s="4"/>
      <c r="P38" s="13" t="b">
        <v>1</v>
      </c>
    </row>
    <row r="39" spans="1:16" ht="48" customHeight="1">
      <c r="A39" s="7">
        <v>37</v>
      </c>
      <c r="B39" s="4" t="s">
        <v>153</v>
      </c>
      <c r="C39" s="4" t="s">
        <v>90</v>
      </c>
      <c r="D39" s="4" t="s">
        <v>157</v>
      </c>
      <c r="E39" s="4" t="s">
        <v>82</v>
      </c>
      <c r="F39" s="10" t="s">
        <v>40</v>
      </c>
      <c r="G39" s="4" t="s">
        <v>155</v>
      </c>
      <c r="H39" s="4" t="s">
        <v>88</v>
      </c>
      <c r="I39" s="4" t="s">
        <v>92</v>
      </c>
      <c r="J39" s="4"/>
      <c r="K39" s="4"/>
      <c r="L39" s="4"/>
      <c r="M39" s="4" t="s">
        <v>156</v>
      </c>
      <c r="N39" s="4"/>
      <c r="O39" s="4"/>
      <c r="P39" s="13" t="b">
        <v>1</v>
      </c>
    </row>
    <row r="40" spans="1:16" ht="48" customHeight="1">
      <c r="A40" s="7">
        <v>38</v>
      </c>
      <c r="B40" s="4" t="s">
        <v>153</v>
      </c>
      <c r="C40" s="4" t="s">
        <v>93</v>
      </c>
      <c r="D40" s="4" t="s">
        <v>158</v>
      </c>
      <c r="E40" s="4" t="s">
        <v>82</v>
      </c>
      <c r="F40" s="10" t="s">
        <v>40</v>
      </c>
      <c r="G40" s="4" t="s">
        <v>155</v>
      </c>
      <c r="H40" s="4" t="s">
        <v>88</v>
      </c>
      <c r="I40" s="4" t="s">
        <v>159</v>
      </c>
      <c r="J40" s="4"/>
      <c r="K40" s="4"/>
      <c r="L40" s="4"/>
      <c r="M40" s="4" t="s">
        <v>96</v>
      </c>
      <c r="N40" s="4"/>
      <c r="O40" s="4"/>
      <c r="P40" s="13" t="b">
        <v>1</v>
      </c>
    </row>
    <row r="41" spans="1:16" ht="48" customHeight="1">
      <c r="A41" s="7">
        <v>39</v>
      </c>
      <c r="B41" s="4" t="s">
        <v>153</v>
      </c>
      <c r="C41" s="4" t="s">
        <v>99</v>
      </c>
      <c r="D41" s="4" t="s">
        <v>160</v>
      </c>
      <c r="E41" s="4" t="s">
        <v>82</v>
      </c>
      <c r="F41" s="10" t="s">
        <v>40</v>
      </c>
      <c r="G41" s="4" t="s">
        <v>155</v>
      </c>
      <c r="H41" s="4" t="s">
        <v>88</v>
      </c>
      <c r="I41" s="4" t="s">
        <v>161</v>
      </c>
      <c r="J41" s="4"/>
      <c r="K41" s="4"/>
      <c r="L41" s="4"/>
      <c r="M41" s="4" t="s">
        <v>156</v>
      </c>
      <c r="N41" s="4"/>
      <c r="O41" s="4"/>
      <c r="P41" s="13" t="b">
        <v>1</v>
      </c>
    </row>
    <row r="42" spans="1:16" ht="48" customHeight="1">
      <c r="A42" s="7">
        <v>40</v>
      </c>
      <c r="B42" s="4" t="s">
        <v>153</v>
      </c>
      <c r="C42" s="4" t="s">
        <v>162</v>
      </c>
      <c r="D42" s="4" t="s">
        <v>163</v>
      </c>
      <c r="E42" s="4"/>
      <c r="F42" s="10" t="s">
        <v>40</v>
      </c>
      <c r="G42" s="4" t="s">
        <v>155</v>
      </c>
      <c r="H42" s="4" t="s">
        <v>164</v>
      </c>
      <c r="I42" s="4"/>
      <c r="J42" s="4"/>
      <c r="K42" s="4"/>
      <c r="L42" s="4"/>
      <c r="M42" s="4" t="s">
        <v>78</v>
      </c>
      <c r="N42" s="4"/>
      <c r="O42" s="4"/>
      <c r="P42" s="13" t="b">
        <v>1</v>
      </c>
    </row>
    <row r="43" spans="1:16" ht="48" customHeight="1">
      <c r="A43" s="7">
        <v>41</v>
      </c>
      <c r="B43" s="4" t="s">
        <v>153</v>
      </c>
      <c r="C43" s="4" t="s">
        <v>111</v>
      </c>
      <c r="D43" s="4" t="s">
        <v>165</v>
      </c>
      <c r="E43" s="4" t="s">
        <v>82</v>
      </c>
      <c r="F43" s="10" t="s">
        <v>35</v>
      </c>
      <c r="G43" s="4" t="s">
        <v>155</v>
      </c>
      <c r="H43" s="4" t="s">
        <v>88</v>
      </c>
      <c r="I43" s="4"/>
      <c r="J43" s="4"/>
      <c r="K43" s="4" t="s">
        <v>166</v>
      </c>
      <c r="L43" s="4"/>
      <c r="M43" s="4" t="s">
        <v>167</v>
      </c>
      <c r="N43" s="4" t="s">
        <v>168</v>
      </c>
      <c r="O43" s="4"/>
      <c r="P43" s="13" t="b">
        <v>1</v>
      </c>
    </row>
    <row r="44" spans="1:16" ht="48" customHeight="1">
      <c r="A44" s="7">
        <v>42</v>
      </c>
      <c r="B44" s="4" t="s">
        <v>153</v>
      </c>
      <c r="C44" s="4" t="s">
        <v>116</v>
      </c>
      <c r="D44" s="4" t="s">
        <v>169</v>
      </c>
      <c r="E44" s="4" t="s">
        <v>82</v>
      </c>
      <c r="F44" s="10" t="s">
        <v>35</v>
      </c>
      <c r="G44" s="4" t="s">
        <v>155</v>
      </c>
      <c r="H44" s="4" t="s">
        <v>88</v>
      </c>
      <c r="I44" s="4"/>
      <c r="J44" s="4"/>
      <c r="K44" s="4" t="s">
        <v>166</v>
      </c>
      <c r="L44" s="4"/>
      <c r="M44" s="4" t="s">
        <v>170</v>
      </c>
      <c r="N44" s="4"/>
      <c r="O44" s="4"/>
      <c r="P44" s="13" t="b">
        <v>1</v>
      </c>
    </row>
    <row r="45" spans="1:16" ht="48" customHeight="1">
      <c r="A45" s="7">
        <v>43</v>
      </c>
      <c r="B45" s="4" t="s">
        <v>153</v>
      </c>
      <c r="C45" s="4" t="s">
        <v>55</v>
      </c>
      <c r="D45" s="4" t="s">
        <v>171</v>
      </c>
      <c r="E45" s="4" t="s">
        <v>82</v>
      </c>
      <c r="F45" s="10" t="s">
        <v>35</v>
      </c>
      <c r="G45" s="4" t="s">
        <v>155</v>
      </c>
      <c r="H45" s="4" t="s">
        <v>88</v>
      </c>
      <c r="I45" s="4"/>
      <c r="J45" s="4"/>
      <c r="K45" s="4" t="s">
        <v>172</v>
      </c>
      <c r="L45" s="4"/>
      <c r="M45" s="4" t="s">
        <v>173</v>
      </c>
      <c r="N45" s="4"/>
      <c r="O45" s="4"/>
      <c r="P45" s="13" t="b">
        <v>1</v>
      </c>
    </row>
    <row r="46" spans="1:16" ht="48" customHeight="1">
      <c r="A46" s="7">
        <v>44</v>
      </c>
      <c r="B46" s="4" t="s">
        <v>153</v>
      </c>
      <c r="C46" s="4" t="s">
        <v>127</v>
      </c>
      <c r="D46" s="4" t="s">
        <v>174</v>
      </c>
      <c r="E46" s="4" t="s">
        <v>175</v>
      </c>
      <c r="F46" s="10" t="s">
        <v>40</v>
      </c>
      <c r="G46" s="4" t="s">
        <v>176</v>
      </c>
      <c r="H46" s="4" t="s">
        <v>88</v>
      </c>
      <c r="I46" s="4"/>
      <c r="J46" s="4"/>
      <c r="K46" s="4"/>
      <c r="L46" s="4"/>
      <c r="M46" s="4" t="s">
        <v>177</v>
      </c>
      <c r="N46" s="4"/>
      <c r="O46" s="4"/>
      <c r="P46" s="13" t="b">
        <v>1</v>
      </c>
    </row>
    <row r="47" spans="1:16" ht="48" customHeight="1">
      <c r="A47" s="7">
        <v>45</v>
      </c>
      <c r="B47" s="4" t="s">
        <v>153</v>
      </c>
      <c r="C47" s="4" t="s">
        <v>127</v>
      </c>
      <c r="D47" s="4" t="s">
        <v>178</v>
      </c>
      <c r="E47" s="4" t="s">
        <v>82</v>
      </c>
      <c r="F47" s="10" t="s">
        <v>40</v>
      </c>
      <c r="G47" s="4" t="s">
        <v>179</v>
      </c>
      <c r="H47" s="4" t="s">
        <v>88</v>
      </c>
      <c r="I47" s="4"/>
      <c r="J47" s="4"/>
      <c r="K47" s="4"/>
      <c r="L47" s="4"/>
      <c r="M47" s="4" t="s">
        <v>180</v>
      </c>
      <c r="N47" s="4"/>
      <c r="O47" s="4"/>
      <c r="P47" s="13" t="b">
        <v>1</v>
      </c>
    </row>
    <row r="48" spans="1:16" ht="48" customHeight="1">
      <c r="A48" s="7">
        <v>46</v>
      </c>
      <c r="B48" s="4" t="s">
        <v>153</v>
      </c>
      <c r="C48" s="4" t="s">
        <v>135</v>
      </c>
      <c r="D48" s="4" t="s">
        <v>181</v>
      </c>
      <c r="E48" s="4" t="s">
        <v>175</v>
      </c>
      <c r="F48" s="10" t="s">
        <v>137</v>
      </c>
      <c r="G48" s="4" t="s">
        <v>176</v>
      </c>
      <c r="H48" s="4" t="s">
        <v>88</v>
      </c>
      <c r="I48" s="4"/>
      <c r="J48" s="4"/>
      <c r="K48" s="4" t="s">
        <v>182</v>
      </c>
      <c r="L48" s="4"/>
      <c r="M48" s="4" t="s">
        <v>183</v>
      </c>
      <c r="N48" s="4"/>
      <c r="O48" s="4"/>
      <c r="P48" s="13" t="b">
        <v>1</v>
      </c>
    </row>
    <row r="49" spans="1:16" ht="48" customHeight="1">
      <c r="A49" s="7">
        <v>47</v>
      </c>
      <c r="B49" s="4" t="s">
        <v>153</v>
      </c>
      <c r="C49" s="4" t="s">
        <v>55</v>
      </c>
      <c r="D49" s="4" t="s">
        <v>184</v>
      </c>
      <c r="E49" s="4" t="s">
        <v>175</v>
      </c>
      <c r="F49" s="10" t="s">
        <v>137</v>
      </c>
      <c r="G49" s="4" t="s">
        <v>176</v>
      </c>
      <c r="H49" s="4" t="s">
        <v>88</v>
      </c>
      <c r="I49" s="4"/>
      <c r="J49" s="4"/>
      <c r="K49" s="4" t="s">
        <v>172</v>
      </c>
      <c r="L49" s="4"/>
      <c r="M49" s="4" t="s">
        <v>173</v>
      </c>
      <c r="N49" s="4"/>
      <c r="O49" s="4"/>
      <c r="P49" s="13" t="b">
        <v>1</v>
      </c>
    </row>
    <row r="50" spans="1:16" ht="48" customHeight="1">
      <c r="A50" s="7">
        <v>48</v>
      </c>
      <c r="B50" s="4" t="s">
        <v>153</v>
      </c>
      <c r="C50" s="4" t="s">
        <v>116</v>
      </c>
      <c r="D50" s="4" t="s">
        <v>185</v>
      </c>
      <c r="E50" s="4" t="s">
        <v>175</v>
      </c>
      <c r="F50" s="10" t="s">
        <v>137</v>
      </c>
      <c r="G50" s="4" t="s">
        <v>176</v>
      </c>
      <c r="H50" s="4" t="s">
        <v>88</v>
      </c>
      <c r="I50" s="4"/>
      <c r="J50" s="4"/>
      <c r="K50" s="4" t="s">
        <v>161</v>
      </c>
      <c r="L50" s="4"/>
      <c r="M50" s="4" t="s">
        <v>170</v>
      </c>
      <c r="N50" s="4"/>
      <c r="O50" s="4"/>
      <c r="P50" s="13" t="b">
        <v>1</v>
      </c>
    </row>
    <row r="51" spans="1:16" ht="48" customHeight="1">
      <c r="A51" s="7">
        <v>49</v>
      </c>
      <c r="B51" s="4" t="s">
        <v>153</v>
      </c>
      <c r="C51" s="4" t="s">
        <v>186</v>
      </c>
      <c r="D51" s="4" t="s">
        <v>187</v>
      </c>
      <c r="E51" s="4" t="s">
        <v>82</v>
      </c>
      <c r="F51" s="10" t="s">
        <v>151</v>
      </c>
      <c r="G51" s="4" t="s">
        <v>188</v>
      </c>
      <c r="H51" s="4" t="s">
        <v>88</v>
      </c>
      <c r="I51" s="4"/>
      <c r="J51" s="4"/>
      <c r="K51" s="4"/>
      <c r="L51" s="4"/>
      <c r="M51" s="4" t="s">
        <v>189</v>
      </c>
      <c r="N51" s="4"/>
      <c r="O51" s="4"/>
      <c r="P51" s="13" t="b">
        <v>1</v>
      </c>
    </row>
    <row r="52" spans="1:16" ht="48" customHeight="1">
      <c r="A52" s="7">
        <v>50</v>
      </c>
      <c r="B52" s="4" t="s">
        <v>153</v>
      </c>
      <c r="C52" s="4" t="s">
        <v>149</v>
      </c>
      <c r="D52" s="4" t="s">
        <v>190</v>
      </c>
      <c r="E52" s="4" t="s">
        <v>175</v>
      </c>
      <c r="F52" s="10" t="s">
        <v>151</v>
      </c>
      <c r="G52" s="4" t="s">
        <v>176</v>
      </c>
      <c r="H52" s="4" t="s">
        <v>88</v>
      </c>
      <c r="I52" s="4"/>
      <c r="J52" s="4"/>
      <c r="K52" s="4"/>
      <c r="L52" s="4"/>
      <c r="M52" s="4" t="s">
        <v>191</v>
      </c>
      <c r="N52" s="4"/>
      <c r="O52" s="4"/>
      <c r="P52" s="13" t="b">
        <v>1</v>
      </c>
    </row>
    <row r="53" spans="1:16" ht="48" customHeight="1">
      <c r="A53" s="7">
        <v>51</v>
      </c>
      <c r="B53" s="4" t="s">
        <v>192</v>
      </c>
      <c r="C53" s="4" t="s">
        <v>86</v>
      </c>
      <c r="D53" s="4" t="s">
        <v>193</v>
      </c>
      <c r="E53" s="4" t="s">
        <v>82</v>
      </c>
      <c r="F53" s="10" t="s">
        <v>40</v>
      </c>
      <c r="G53" s="4" t="s">
        <v>194</v>
      </c>
      <c r="H53" s="4" t="s">
        <v>88</v>
      </c>
      <c r="I53" s="4" t="s">
        <v>89</v>
      </c>
      <c r="J53" s="4"/>
      <c r="K53" s="4"/>
      <c r="L53" s="4"/>
      <c r="M53" s="4" t="s">
        <v>195</v>
      </c>
      <c r="N53" s="4"/>
      <c r="O53" s="4"/>
      <c r="P53" s="13" t="b">
        <v>1</v>
      </c>
    </row>
    <row r="54" spans="1:16" ht="48" customHeight="1">
      <c r="A54" s="7">
        <v>52</v>
      </c>
      <c r="B54" s="4" t="s">
        <v>192</v>
      </c>
      <c r="C54" s="4" t="s">
        <v>90</v>
      </c>
      <c r="D54" s="4" t="s">
        <v>196</v>
      </c>
      <c r="E54" s="4" t="s">
        <v>82</v>
      </c>
      <c r="F54" s="10" t="s">
        <v>40</v>
      </c>
      <c r="G54" s="4" t="s">
        <v>194</v>
      </c>
      <c r="H54" s="4" t="s">
        <v>88</v>
      </c>
      <c r="I54" s="4" t="s">
        <v>92</v>
      </c>
      <c r="J54" s="4"/>
      <c r="K54" s="4"/>
      <c r="L54" s="4"/>
      <c r="M54" s="4" t="s">
        <v>195</v>
      </c>
      <c r="N54" s="4"/>
      <c r="O54" s="4"/>
      <c r="P54" s="13" t="b">
        <v>1</v>
      </c>
    </row>
    <row r="55" spans="1:16" ht="48" customHeight="1">
      <c r="A55" s="7">
        <v>53</v>
      </c>
      <c r="B55" s="4" t="s">
        <v>192</v>
      </c>
      <c r="C55" s="4" t="s">
        <v>93</v>
      </c>
      <c r="D55" s="4" t="s">
        <v>197</v>
      </c>
      <c r="E55" s="4" t="s">
        <v>82</v>
      </c>
      <c r="F55" s="10" t="s">
        <v>40</v>
      </c>
      <c r="G55" s="4" t="s">
        <v>194</v>
      </c>
      <c r="H55" s="4" t="s">
        <v>88</v>
      </c>
      <c r="I55" s="4" t="s">
        <v>159</v>
      </c>
      <c r="J55" s="4"/>
      <c r="K55" s="4"/>
      <c r="L55" s="4"/>
      <c r="M55" s="4" t="s">
        <v>96</v>
      </c>
      <c r="N55" s="4"/>
      <c r="O55" s="4"/>
      <c r="P55" s="13" t="b">
        <v>1</v>
      </c>
    </row>
    <row r="56" spans="1:16" ht="48" customHeight="1">
      <c r="A56" s="7">
        <v>54</v>
      </c>
      <c r="B56" s="4" t="s">
        <v>192</v>
      </c>
      <c r="C56" s="4" t="s">
        <v>198</v>
      </c>
      <c r="D56" s="4" t="s">
        <v>199</v>
      </c>
      <c r="E56" s="4" t="s">
        <v>82</v>
      </c>
      <c r="F56" s="10" t="s">
        <v>40</v>
      </c>
      <c r="G56" s="4" t="s">
        <v>194</v>
      </c>
      <c r="H56" s="4" t="s">
        <v>88</v>
      </c>
      <c r="I56" s="4" t="s">
        <v>200</v>
      </c>
      <c r="J56" s="4"/>
      <c r="K56" s="4"/>
      <c r="L56" s="4"/>
      <c r="M56" s="4" t="s">
        <v>195</v>
      </c>
      <c r="N56" s="4"/>
      <c r="O56" s="4"/>
      <c r="P56" s="13" t="b">
        <v>1</v>
      </c>
    </row>
    <row r="57" spans="1:16" ht="48" customHeight="1">
      <c r="A57" s="7">
        <v>55</v>
      </c>
      <c r="B57" s="4" t="s">
        <v>192</v>
      </c>
      <c r="C57" s="4" t="s">
        <v>201</v>
      </c>
      <c r="D57" s="4" t="s">
        <v>202</v>
      </c>
      <c r="E57" s="4" t="s">
        <v>82</v>
      </c>
      <c r="F57" s="10" t="s">
        <v>40</v>
      </c>
      <c r="G57" s="4" t="s">
        <v>194</v>
      </c>
      <c r="H57" s="4" t="s">
        <v>88</v>
      </c>
      <c r="I57" s="4" t="s">
        <v>203</v>
      </c>
      <c r="J57" s="4"/>
      <c r="K57" s="4"/>
      <c r="L57" s="4"/>
      <c r="M57" s="4" t="s">
        <v>195</v>
      </c>
      <c r="N57" s="4"/>
      <c r="O57" s="4"/>
      <c r="P57" s="13" t="b">
        <v>1</v>
      </c>
    </row>
    <row r="58" spans="1:16" ht="48" customHeight="1">
      <c r="A58" s="7">
        <v>56</v>
      </c>
      <c r="B58" s="4" t="s">
        <v>192</v>
      </c>
      <c r="C58" s="4" t="s">
        <v>102</v>
      </c>
      <c r="D58" s="4" t="s">
        <v>204</v>
      </c>
      <c r="E58" s="4" t="s">
        <v>82</v>
      </c>
      <c r="F58" s="10" t="s">
        <v>40</v>
      </c>
      <c r="G58" s="4" t="s">
        <v>194</v>
      </c>
      <c r="H58" s="4" t="s">
        <v>88</v>
      </c>
      <c r="I58" s="4" t="s">
        <v>106</v>
      </c>
      <c r="J58" s="4"/>
      <c r="K58" s="4"/>
      <c r="L58" s="4"/>
      <c r="M58" s="4" t="s">
        <v>195</v>
      </c>
      <c r="N58" s="4"/>
      <c r="O58" s="4"/>
      <c r="P58" s="13" t="b">
        <v>1</v>
      </c>
    </row>
    <row r="59" spans="1:16" ht="48" customHeight="1">
      <c r="A59" s="7">
        <v>57</v>
      </c>
      <c r="B59" s="4" t="s">
        <v>192</v>
      </c>
      <c r="C59" s="4" t="s">
        <v>205</v>
      </c>
      <c r="D59" s="4" t="s">
        <v>206</v>
      </c>
      <c r="E59" s="4" t="s">
        <v>82</v>
      </c>
      <c r="F59" s="10" t="s">
        <v>40</v>
      </c>
      <c r="G59" s="4" t="s">
        <v>194</v>
      </c>
      <c r="H59" s="4" t="s">
        <v>88</v>
      </c>
      <c r="I59" s="4" t="s">
        <v>207</v>
      </c>
      <c r="J59" s="4"/>
      <c r="K59" s="4"/>
      <c r="L59" s="4"/>
      <c r="M59" s="4" t="s">
        <v>195</v>
      </c>
      <c r="N59" s="4"/>
      <c r="O59" s="4"/>
      <c r="P59" s="13" t="b">
        <v>1</v>
      </c>
    </row>
    <row r="60" spans="1:16" ht="48" customHeight="1">
      <c r="A60" s="7">
        <v>58</v>
      </c>
      <c r="B60" s="4" t="s">
        <v>192</v>
      </c>
      <c r="C60" s="4" t="s">
        <v>208</v>
      </c>
      <c r="D60" s="4" t="s">
        <v>209</v>
      </c>
      <c r="E60" s="4" t="s">
        <v>82</v>
      </c>
      <c r="F60" s="10" t="s">
        <v>40</v>
      </c>
      <c r="G60" s="4" t="s">
        <v>194</v>
      </c>
      <c r="H60" s="4" t="s">
        <v>88</v>
      </c>
      <c r="I60" s="4" t="s">
        <v>210</v>
      </c>
      <c r="J60" s="4"/>
      <c r="K60" s="4"/>
      <c r="L60" s="4"/>
      <c r="M60" s="4" t="s">
        <v>211</v>
      </c>
      <c r="N60" s="4"/>
      <c r="O60" s="4"/>
      <c r="P60" s="13" t="b">
        <v>1</v>
      </c>
    </row>
    <row r="61" spans="1:16" ht="48" customHeight="1">
      <c r="A61" s="7">
        <v>59</v>
      </c>
      <c r="B61" s="4" t="s">
        <v>192</v>
      </c>
      <c r="C61" s="4" t="s">
        <v>212</v>
      </c>
      <c r="D61" s="4" t="s">
        <v>213</v>
      </c>
      <c r="E61" s="4" t="s">
        <v>82</v>
      </c>
      <c r="F61" s="10" t="s">
        <v>40</v>
      </c>
      <c r="G61" s="4" t="s">
        <v>194</v>
      </c>
      <c r="H61" s="4" t="s">
        <v>88</v>
      </c>
      <c r="I61" s="4" t="s">
        <v>214</v>
      </c>
      <c r="J61" s="4"/>
      <c r="K61" s="4"/>
      <c r="L61" s="4"/>
      <c r="M61" s="4" t="s">
        <v>195</v>
      </c>
      <c r="N61" s="4"/>
      <c r="O61" s="4"/>
      <c r="P61" s="13" t="b">
        <v>1</v>
      </c>
    </row>
    <row r="62" spans="1:16" ht="48" customHeight="1">
      <c r="A62" s="7">
        <v>60</v>
      </c>
      <c r="B62" s="4" t="s">
        <v>192</v>
      </c>
      <c r="C62" s="4" t="s">
        <v>215</v>
      </c>
      <c r="D62" s="4" t="s">
        <v>216</v>
      </c>
      <c r="E62" s="4" t="s">
        <v>82</v>
      </c>
      <c r="F62" s="10" t="s">
        <v>40</v>
      </c>
      <c r="G62" s="4" t="s">
        <v>194</v>
      </c>
      <c r="H62" s="4" t="s">
        <v>88</v>
      </c>
      <c r="I62" s="4" t="s">
        <v>217</v>
      </c>
      <c r="J62" s="4"/>
      <c r="K62" s="4"/>
      <c r="L62" s="4"/>
      <c r="M62" s="4" t="s">
        <v>218</v>
      </c>
      <c r="N62" s="4"/>
      <c r="O62" s="4"/>
      <c r="P62" s="13" t="b">
        <v>1</v>
      </c>
    </row>
    <row r="63" spans="1:16" ht="48" customHeight="1">
      <c r="A63" s="7">
        <v>61</v>
      </c>
      <c r="B63" s="4" t="s">
        <v>192</v>
      </c>
      <c r="C63" s="4" t="s">
        <v>111</v>
      </c>
      <c r="D63" s="4" t="s">
        <v>219</v>
      </c>
      <c r="E63" s="4" t="s">
        <v>82</v>
      </c>
      <c r="F63" s="10" t="s">
        <v>35</v>
      </c>
      <c r="G63" s="4" t="s">
        <v>194</v>
      </c>
      <c r="H63" s="4" t="s">
        <v>88</v>
      </c>
      <c r="I63" s="4"/>
      <c r="J63" s="4"/>
      <c r="K63" s="4" t="s">
        <v>220</v>
      </c>
      <c r="L63" s="4"/>
      <c r="M63" s="4" t="s">
        <v>221</v>
      </c>
      <c r="N63" s="4" t="s">
        <v>222</v>
      </c>
      <c r="O63" s="4"/>
      <c r="P63" s="13" t="b">
        <v>1</v>
      </c>
    </row>
    <row r="64" spans="1:16" ht="48" customHeight="1">
      <c r="A64" s="7">
        <v>62</v>
      </c>
      <c r="B64" s="4" t="s">
        <v>192</v>
      </c>
      <c r="C64" s="4" t="s">
        <v>116</v>
      </c>
      <c r="D64" s="4" t="s">
        <v>223</v>
      </c>
      <c r="E64" s="4" t="s">
        <v>82</v>
      </c>
      <c r="F64" s="10" t="s">
        <v>35</v>
      </c>
      <c r="G64" s="4" t="s">
        <v>194</v>
      </c>
      <c r="H64" s="4" t="s">
        <v>88</v>
      </c>
      <c r="I64" s="4"/>
      <c r="J64" s="4"/>
      <c r="K64" s="4" t="s">
        <v>224</v>
      </c>
      <c r="L64" s="4"/>
      <c r="M64" s="4" t="s">
        <v>225</v>
      </c>
      <c r="N64" s="4"/>
      <c r="O64" s="4"/>
      <c r="P64" s="13" t="b">
        <v>1</v>
      </c>
    </row>
    <row r="65" spans="1:16" ht="48" customHeight="1">
      <c r="A65" s="7">
        <v>63</v>
      </c>
      <c r="B65" s="4" t="s">
        <v>192</v>
      </c>
      <c r="C65" s="4" t="s">
        <v>55</v>
      </c>
      <c r="D65" s="4" t="s">
        <v>226</v>
      </c>
      <c r="E65" s="4" t="s">
        <v>82</v>
      </c>
      <c r="F65" s="10" t="s">
        <v>35</v>
      </c>
      <c r="G65" s="4" t="s">
        <v>194</v>
      </c>
      <c r="H65" s="4" t="s">
        <v>88</v>
      </c>
      <c r="I65" s="4"/>
      <c r="J65" s="4"/>
      <c r="K65" s="4" t="s">
        <v>227</v>
      </c>
      <c r="L65" s="4"/>
      <c r="M65" s="4" t="s">
        <v>228</v>
      </c>
      <c r="N65" s="4"/>
      <c r="O65" s="4"/>
      <c r="P65" s="13" t="b">
        <v>1</v>
      </c>
    </row>
    <row r="66" spans="1:16" ht="48" customHeight="1">
      <c r="A66" s="7">
        <v>64</v>
      </c>
      <c r="B66" s="4" t="s">
        <v>192</v>
      </c>
      <c r="C66" s="4" t="s">
        <v>229</v>
      </c>
      <c r="D66" s="4" t="s">
        <v>230</v>
      </c>
      <c r="E66" s="4" t="s">
        <v>82</v>
      </c>
      <c r="F66" s="10" t="s">
        <v>35</v>
      </c>
      <c r="G66" s="4" t="s">
        <v>194</v>
      </c>
      <c r="H66" s="4" t="s">
        <v>88</v>
      </c>
      <c r="I66" s="4"/>
      <c r="J66" s="4"/>
      <c r="K66" s="4" t="s">
        <v>231</v>
      </c>
      <c r="L66" s="4"/>
      <c r="M66" s="4" t="s">
        <v>232</v>
      </c>
      <c r="N66" s="4"/>
      <c r="O66" s="4"/>
      <c r="P66" s="13" t="b">
        <v>1</v>
      </c>
    </row>
    <row r="67" spans="1:16" ht="48" customHeight="1">
      <c r="A67" s="7">
        <v>65</v>
      </c>
      <c r="B67" s="4" t="s">
        <v>192</v>
      </c>
      <c r="C67" s="4" t="s">
        <v>123</v>
      </c>
      <c r="D67" s="4" t="s">
        <v>233</v>
      </c>
      <c r="E67" s="4" t="s">
        <v>82</v>
      </c>
      <c r="F67" s="10" t="s">
        <v>35</v>
      </c>
      <c r="G67" s="4" t="s">
        <v>194</v>
      </c>
      <c r="H67" s="4" t="s">
        <v>88</v>
      </c>
      <c r="I67" s="4"/>
      <c r="J67" s="4"/>
      <c r="K67" s="4" t="s">
        <v>234</v>
      </c>
      <c r="L67" s="4"/>
      <c r="M67" s="4" t="s">
        <v>235</v>
      </c>
      <c r="N67" s="4"/>
      <c r="O67" s="4"/>
      <c r="P67" s="13" t="b">
        <v>1</v>
      </c>
    </row>
    <row r="68" spans="1:16" ht="48" customHeight="1">
      <c r="A68" s="7">
        <v>66</v>
      </c>
      <c r="B68" s="4" t="s">
        <v>192</v>
      </c>
      <c r="C68" s="4" t="s">
        <v>123</v>
      </c>
      <c r="D68" s="4" t="s">
        <v>236</v>
      </c>
      <c r="E68" s="4" t="s">
        <v>82</v>
      </c>
      <c r="F68" s="10" t="s">
        <v>35</v>
      </c>
      <c r="G68" s="4" t="s">
        <v>194</v>
      </c>
      <c r="H68" s="4" t="s">
        <v>88</v>
      </c>
      <c r="I68" s="4"/>
      <c r="J68" s="4"/>
      <c r="K68" s="4" t="s">
        <v>237</v>
      </c>
      <c r="L68" s="4"/>
      <c r="M68" s="4" t="s">
        <v>238</v>
      </c>
      <c r="N68" s="4"/>
      <c r="O68" s="4"/>
      <c r="P68" s="13" t="b">
        <v>1</v>
      </c>
    </row>
    <row r="69" spans="1:16" ht="48" customHeight="1">
      <c r="A69" s="7">
        <v>67</v>
      </c>
      <c r="B69" s="4" t="s">
        <v>192</v>
      </c>
      <c r="C69" s="4" t="s">
        <v>186</v>
      </c>
      <c r="D69" s="4" t="s">
        <v>239</v>
      </c>
      <c r="E69" s="4" t="s">
        <v>82</v>
      </c>
      <c r="F69" s="10" t="s">
        <v>35</v>
      </c>
      <c r="G69" s="4" t="s">
        <v>194</v>
      </c>
      <c r="H69" s="4" t="s">
        <v>88</v>
      </c>
      <c r="I69" s="4"/>
      <c r="J69" s="4"/>
      <c r="K69" s="4" t="s">
        <v>240</v>
      </c>
      <c r="L69" s="4"/>
      <c r="M69" s="4" t="s">
        <v>241</v>
      </c>
      <c r="N69" s="4"/>
      <c r="O69" s="4"/>
      <c r="P69" s="13" t="b">
        <v>1</v>
      </c>
    </row>
    <row r="70" spans="1:16" ht="48" customHeight="1">
      <c r="A70" s="7">
        <v>68</v>
      </c>
      <c r="B70" s="4" t="s">
        <v>192</v>
      </c>
      <c r="C70" s="4" t="s">
        <v>127</v>
      </c>
      <c r="D70" s="4" t="s">
        <v>242</v>
      </c>
      <c r="E70" s="4" t="s">
        <v>243</v>
      </c>
      <c r="F70" s="10" t="s">
        <v>40</v>
      </c>
      <c r="G70" s="4" t="s">
        <v>244</v>
      </c>
      <c r="H70" s="4" t="s">
        <v>88</v>
      </c>
      <c r="I70" s="4"/>
      <c r="J70" s="4"/>
      <c r="K70" s="4"/>
      <c r="L70" s="4"/>
      <c r="M70" s="4" t="s">
        <v>245</v>
      </c>
      <c r="N70" s="4"/>
      <c r="O70" s="4"/>
      <c r="P70" s="13" t="b">
        <v>1</v>
      </c>
    </row>
    <row r="71" spans="1:16" ht="48" customHeight="1">
      <c r="A71" s="7">
        <v>69</v>
      </c>
      <c r="B71" s="4" t="s">
        <v>192</v>
      </c>
      <c r="C71" s="4" t="s">
        <v>127</v>
      </c>
      <c r="D71" s="4" t="s">
        <v>246</v>
      </c>
      <c r="E71" s="4" t="s">
        <v>82</v>
      </c>
      <c r="F71" s="10" t="s">
        <v>40</v>
      </c>
      <c r="G71" s="4" t="s">
        <v>247</v>
      </c>
      <c r="H71" s="4" t="s">
        <v>88</v>
      </c>
      <c r="I71" s="4"/>
      <c r="J71" s="4"/>
      <c r="K71" s="4"/>
      <c r="L71" s="4"/>
      <c r="M71" s="4" t="s">
        <v>248</v>
      </c>
      <c r="N71" s="4"/>
      <c r="O71" s="4"/>
      <c r="P71" s="13" t="b">
        <v>1</v>
      </c>
    </row>
    <row r="72" spans="1:16" ht="48" customHeight="1">
      <c r="A72" s="7">
        <v>70</v>
      </c>
      <c r="B72" s="4" t="s">
        <v>192</v>
      </c>
      <c r="C72" s="4" t="s">
        <v>135</v>
      </c>
      <c r="D72" s="4" t="s">
        <v>249</v>
      </c>
      <c r="E72" s="4" t="s">
        <v>243</v>
      </c>
      <c r="F72" s="10" t="s">
        <v>137</v>
      </c>
      <c r="G72" s="4" t="s">
        <v>244</v>
      </c>
      <c r="H72" s="4" t="s">
        <v>88</v>
      </c>
      <c r="I72" s="4"/>
      <c r="J72" s="4"/>
      <c r="K72" s="4" t="s">
        <v>250</v>
      </c>
      <c r="L72" s="4"/>
      <c r="M72" s="4" t="s">
        <v>251</v>
      </c>
      <c r="N72" s="4"/>
      <c r="O72" s="4"/>
      <c r="P72" s="13" t="b">
        <v>1</v>
      </c>
    </row>
    <row r="73" spans="1:16" ht="48" customHeight="1">
      <c r="A73" s="7">
        <v>71</v>
      </c>
      <c r="B73" s="4" t="s">
        <v>192</v>
      </c>
      <c r="C73" s="4" t="s">
        <v>135</v>
      </c>
      <c r="D73" s="4" t="s">
        <v>252</v>
      </c>
      <c r="E73" s="4" t="s">
        <v>243</v>
      </c>
      <c r="F73" s="10" t="s">
        <v>137</v>
      </c>
      <c r="G73" s="4" t="s">
        <v>244</v>
      </c>
      <c r="H73" s="4" t="s">
        <v>88</v>
      </c>
      <c r="I73" s="4"/>
      <c r="J73" s="4"/>
      <c r="K73" s="4" t="s">
        <v>253</v>
      </c>
      <c r="L73" s="4"/>
      <c r="M73" s="4" t="s">
        <v>251</v>
      </c>
      <c r="N73" s="4"/>
      <c r="O73" s="4"/>
      <c r="P73" s="13" t="b">
        <v>1</v>
      </c>
    </row>
    <row r="74" spans="1:16" ht="48" customHeight="1">
      <c r="A74" s="7">
        <v>72</v>
      </c>
      <c r="B74" s="4" t="s">
        <v>192</v>
      </c>
      <c r="C74" s="4" t="s">
        <v>55</v>
      </c>
      <c r="D74" s="4" t="s">
        <v>254</v>
      </c>
      <c r="E74" s="4" t="s">
        <v>243</v>
      </c>
      <c r="F74" s="10" t="s">
        <v>137</v>
      </c>
      <c r="G74" s="4" t="s">
        <v>244</v>
      </c>
      <c r="H74" s="4" t="s">
        <v>88</v>
      </c>
      <c r="I74" s="4"/>
      <c r="J74" s="4"/>
      <c r="K74" s="4" t="s">
        <v>255</v>
      </c>
      <c r="L74" s="4"/>
      <c r="M74" s="4" t="s">
        <v>142</v>
      </c>
      <c r="N74" s="4"/>
      <c r="O74" s="4"/>
      <c r="P74" s="13" t="b">
        <v>1</v>
      </c>
    </row>
    <row r="75" spans="1:16" ht="48" customHeight="1">
      <c r="A75" s="7">
        <v>73</v>
      </c>
      <c r="B75" s="4" t="s">
        <v>192</v>
      </c>
      <c r="C75" s="4" t="s">
        <v>143</v>
      </c>
      <c r="D75" s="4" t="s">
        <v>256</v>
      </c>
      <c r="E75" s="4" t="s">
        <v>243</v>
      </c>
      <c r="F75" s="10" t="s">
        <v>137</v>
      </c>
      <c r="G75" s="4" t="s">
        <v>257</v>
      </c>
      <c r="H75" s="4" t="s">
        <v>88</v>
      </c>
      <c r="I75" s="4"/>
      <c r="J75" s="4"/>
      <c r="K75" s="4"/>
      <c r="L75" s="4"/>
      <c r="M75" s="4" t="s">
        <v>258</v>
      </c>
      <c r="N75" s="4"/>
      <c r="O75" s="4"/>
      <c r="P75" s="13" t="b">
        <v>1</v>
      </c>
    </row>
    <row r="76" spans="1:16" ht="48" customHeight="1">
      <c r="A76" s="7">
        <v>74</v>
      </c>
      <c r="B76" s="4" t="s">
        <v>192</v>
      </c>
      <c r="C76" s="4" t="s">
        <v>259</v>
      </c>
      <c r="D76" s="4" t="s">
        <v>260</v>
      </c>
      <c r="E76" s="4" t="s">
        <v>243</v>
      </c>
      <c r="F76" s="10" t="s">
        <v>137</v>
      </c>
      <c r="G76" s="4" t="s">
        <v>261</v>
      </c>
      <c r="H76" s="4" t="s">
        <v>88</v>
      </c>
      <c r="I76" s="4"/>
      <c r="J76" s="4"/>
      <c r="K76" s="4" t="s">
        <v>262</v>
      </c>
      <c r="L76" s="4"/>
      <c r="M76" s="4" t="s">
        <v>263</v>
      </c>
      <c r="N76" s="4"/>
      <c r="O76" s="4"/>
      <c r="P76" s="13" t="b">
        <v>1</v>
      </c>
    </row>
    <row r="77" spans="1:16" ht="48" customHeight="1">
      <c r="A77" s="7">
        <v>75</v>
      </c>
      <c r="B77" s="4" t="s">
        <v>192</v>
      </c>
      <c r="C77" s="4" t="s">
        <v>149</v>
      </c>
      <c r="D77" s="4" t="s">
        <v>264</v>
      </c>
      <c r="E77" s="4" t="s">
        <v>243</v>
      </c>
      <c r="F77" s="10" t="s">
        <v>151</v>
      </c>
      <c r="G77" s="4" t="s">
        <v>244</v>
      </c>
      <c r="H77" s="4" t="s">
        <v>88</v>
      </c>
      <c r="I77" s="4"/>
      <c r="J77" s="4"/>
      <c r="K77" s="4"/>
      <c r="L77" s="4"/>
      <c r="M77" s="4" t="s">
        <v>265</v>
      </c>
      <c r="N77" s="4"/>
      <c r="O77" s="4"/>
      <c r="P77" s="13" t="b">
        <v>1</v>
      </c>
    </row>
    <row r="78" spans="1:16" ht="48" customHeight="1">
      <c r="A78" s="7">
        <v>76</v>
      </c>
      <c r="B78" s="4" t="s">
        <v>266</v>
      </c>
      <c r="C78" s="4" t="s">
        <v>86</v>
      </c>
      <c r="D78" s="4" t="s">
        <v>267</v>
      </c>
      <c r="E78" s="4" t="s">
        <v>82</v>
      </c>
      <c r="F78" s="10" t="s">
        <v>40</v>
      </c>
      <c r="G78" s="4" t="s">
        <v>268</v>
      </c>
      <c r="H78" s="4" t="s">
        <v>88</v>
      </c>
      <c r="I78" s="4" t="s">
        <v>89</v>
      </c>
      <c r="J78" s="4"/>
      <c r="K78" s="4"/>
      <c r="L78" s="4"/>
      <c r="M78" s="4" t="s">
        <v>269</v>
      </c>
      <c r="N78" s="4"/>
      <c r="O78" s="4"/>
      <c r="P78" s="13" t="b">
        <v>1</v>
      </c>
    </row>
    <row r="79" spans="1:16" ht="48" customHeight="1">
      <c r="A79" s="7">
        <v>77</v>
      </c>
      <c r="B79" s="4" t="s">
        <v>266</v>
      </c>
      <c r="C79" s="4" t="s">
        <v>102</v>
      </c>
      <c r="D79" s="4" t="s">
        <v>270</v>
      </c>
      <c r="E79" s="4" t="s">
        <v>82</v>
      </c>
      <c r="F79" s="10" t="s">
        <v>40</v>
      </c>
      <c r="G79" s="4" t="s">
        <v>268</v>
      </c>
      <c r="H79" s="4" t="s">
        <v>88</v>
      </c>
      <c r="I79" s="4" t="s">
        <v>271</v>
      </c>
      <c r="J79" s="4"/>
      <c r="K79" s="4"/>
      <c r="L79" s="4"/>
      <c r="M79" s="4" t="s">
        <v>269</v>
      </c>
      <c r="N79" s="4"/>
      <c r="O79" s="4"/>
      <c r="P79" s="13" t="b">
        <v>1</v>
      </c>
    </row>
    <row r="80" spans="1:16" ht="48" customHeight="1">
      <c r="A80" s="7">
        <v>78</v>
      </c>
      <c r="B80" s="4" t="s">
        <v>266</v>
      </c>
      <c r="C80" s="4" t="s">
        <v>107</v>
      </c>
      <c r="D80" s="4" t="s">
        <v>272</v>
      </c>
      <c r="E80" s="4" t="s">
        <v>82</v>
      </c>
      <c r="F80" s="10" t="s">
        <v>40</v>
      </c>
      <c r="G80" s="4" t="s">
        <v>268</v>
      </c>
      <c r="H80" s="4" t="s">
        <v>88</v>
      </c>
      <c r="I80" s="4" t="s">
        <v>273</v>
      </c>
      <c r="J80" s="4"/>
      <c r="K80" s="4"/>
      <c r="L80" s="4"/>
      <c r="M80" s="4" t="s">
        <v>274</v>
      </c>
      <c r="N80" s="4"/>
      <c r="O80" s="4"/>
      <c r="P80" s="13" t="b">
        <v>1</v>
      </c>
    </row>
    <row r="81" spans="1:16" ht="48" customHeight="1">
      <c r="A81" s="7">
        <v>79</v>
      </c>
      <c r="B81" s="4" t="s">
        <v>266</v>
      </c>
      <c r="C81" s="4" t="s">
        <v>111</v>
      </c>
      <c r="D81" s="4" t="s">
        <v>275</v>
      </c>
      <c r="E81" s="4" t="s">
        <v>82</v>
      </c>
      <c r="F81" s="10" t="s">
        <v>35</v>
      </c>
      <c r="G81" s="4" t="s">
        <v>268</v>
      </c>
      <c r="H81" s="4" t="s">
        <v>88</v>
      </c>
      <c r="I81" s="4"/>
      <c r="J81" s="4"/>
      <c r="K81" s="4" t="s">
        <v>276</v>
      </c>
      <c r="L81" s="4"/>
      <c r="M81" s="4" t="s">
        <v>277</v>
      </c>
      <c r="N81" s="4" t="s">
        <v>278</v>
      </c>
      <c r="O81" s="4"/>
      <c r="P81" s="13" t="b">
        <v>1</v>
      </c>
    </row>
    <row r="82" spans="1:16" ht="48" customHeight="1">
      <c r="A82" s="7">
        <v>80</v>
      </c>
      <c r="B82" s="4" t="s">
        <v>266</v>
      </c>
      <c r="C82" s="4" t="s">
        <v>55</v>
      </c>
      <c r="D82" s="4" t="s">
        <v>279</v>
      </c>
      <c r="E82" s="4" t="s">
        <v>82</v>
      </c>
      <c r="F82" s="10" t="s">
        <v>35</v>
      </c>
      <c r="G82" s="4" t="s">
        <v>268</v>
      </c>
      <c r="H82" s="4" t="s">
        <v>88</v>
      </c>
      <c r="I82" s="4"/>
      <c r="J82" s="4"/>
      <c r="K82" s="4" t="s">
        <v>280</v>
      </c>
      <c r="L82" s="4"/>
      <c r="M82" s="4" t="s">
        <v>281</v>
      </c>
      <c r="N82" s="4"/>
      <c r="O82" s="4"/>
      <c r="P82" s="13" t="b">
        <v>1</v>
      </c>
    </row>
    <row r="83" spans="1:16" ht="48" customHeight="1">
      <c r="A83" s="7">
        <v>81</v>
      </c>
      <c r="B83" s="4" t="s">
        <v>266</v>
      </c>
      <c r="C83" s="4" t="s">
        <v>186</v>
      </c>
      <c r="D83" s="4" t="s">
        <v>282</v>
      </c>
      <c r="E83" s="4" t="s">
        <v>82</v>
      </c>
      <c r="F83" s="10" t="s">
        <v>35</v>
      </c>
      <c r="G83" s="4" t="s">
        <v>268</v>
      </c>
      <c r="H83" s="4" t="s">
        <v>88</v>
      </c>
      <c r="I83" s="4"/>
      <c r="J83" s="4"/>
      <c r="K83" s="4" t="s">
        <v>283</v>
      </c>
      <c r="L83" s="4"/>
      <c r="M83" s="4" t="s">
        <v>284</v>
      </c>
      <c r="N83" s="4"/>
      <c r="O83" s="4"/>
      <c r="P83" s="13" t="b">
        <v>1</v>
      </c>
    </row>
    <row r="84" spans="1:16" ht="48" customHeight="1">
      <c r="A84" s="7">
        <v>82</v>
      </c>
      <c r="B84" s="4" t="s">
        <v>266</v>
      </c>
      <c r="C84" s="4" t="s">
        <v>55</v>
      </c>
      <c r="D84" s="4" t="s">
        <v>285</v>
      </c>
      <c r="E84" s="4" t="s">
        <v>82</v>
      </c>
      <c r="F84" s="10" t="s">
        <v>35</v>
      </c>
      <c r="G84" s="4" t="s">
        <v>268</v>
      </c>
      <c r="H84" s="4" t="s">
        <v>88</v>
      </c>
      <c r="I84" s="4"/>
      <c r="J84" s="4"/>
      <c r="K84" s="4" t="s">
        <v>286</v>
      </c>
      <c r="L84" s="4"/>
      <c r="M84" s="4" t="s">
        <v>287</v>
      </c>
      <c r="N84" s="4"/>
      <c r="O84" s="4"/>
      <c r="P84" s="13" t="b">
        <v>1</v>
      </c>
    </row>
    <row r="85" spans="1:16" ht="48" customHeight="1">
      <c r="A85" s="7">
        <v>83</v>
      </c>
      <c r="B85" s="4" t="s">
        <v>266</v>
      </c>
      <c r="C85" s="4" t="s">
        <v>186</v>
      </c>
      <c r="D85" s="4" t="s">
        <v>288</v>
      </c>
      <c r="E85" s="4" t="s">
        <v>82</v>
      </c>
      <c r="F85" s="10" t="s">
        <v>35</v>
      </c>
      <c r="G85" s="4" t="s">
        <v>268</v>
      </c>
      <c r="H85" s="4" t="s">
        <v>88</v>
      </c>
      <c r="I85" s="4"/>
      <c r="J85" s="4"/>
      <c r="K85" s="4" t="s">
        <v>289</v>
      </c>
      <c r="L85" s="4"/>
      <c r="M85" s="4" t="s">
        <v>290</v>
      </c>
      <c r="N85" s="4"/>
      <c r="O85" s="4"/>
      <c r="P85" s="13" t="b">
        <v>1</v>
      </c>
    </row>
    <row r="86" spans="1:16" ht="48" customHeight="1">
      <c r="A86" s="7">
        <v>84</v>
      </c>
      <c r="B86" s="4" t="s">
        <v>266</v>
      </c>
      <c r="C86" s="4" t="s">
        <v>123</v>
      </c>
      <c r="D86" s="4" t="s">
        <v>291</v>
      </c>
      <c r="E86" s="4" t="s">
        <v>82</v>
      </c>
      <c r="F86" s="10" t="s">
        <v>35</v>
      </c>
      <c r="G86" s="4" t="s">
        <v>268</v>
      </c>
      <c r="H86" s="4" t="s">
        <v>88</v>
      </c>
      <c r="I86" s="4"/>
      <c r="J86" s="4"/>
      <c r="K86" s="4" t="s">
        <v>292</v>
      </c>
      <c r="L86" s="4"/>
      <c r="M86" s="4" t="s">
        <v>293</v>
      </c>
      <c r="N86" s="4"/>
      <c r="O86" s="4"/>
      <c r="P86" s="13" t="b">
        <v>1</v>
      </c>
    </row>
    <row r="87" spans="1:16" ht="48" customHeight="1">
      <c r="A87" s="7">
        <v>85</v>
      </c>
      <c r="B87" s="4" t="s">
        <v>266</v>
      </c>
      <c r="C87" s="4" t="s">
        <v>294</v>
      </c>
      <c r="D87" s="4" t="s">
        <v>295</v>
      </c>
      <c r="E87" s="4" t="s">
        <v>82</v>
      </c>
      <c r="F87" s="10" t="s">
        <v>35</v>
      </c>
      <c r="G87" s="4" t="s">
        <v>268</v>
      </c>
      <c r="H87" s="4" t="s">
        <v>88</v>
      </c>
      <c r="I87" s="4"/>
      <c r="J87" s="4"/>
      <c r="K87" s="4" t="s">
        <v>296</v>
      </c>
      <c r="L87" s="4"/>
      <c r="M87" s="4" t="s">
        <v>297</v>
      </c>
      <c r="N87" s="4"/>
      <c r="O87" s="4"/>
      <c r="P87" s="13" t="b">
        <v>1</v>
      </c>
    </row>
    <row r="88" spans="1:16" ht="48" customHeight="1">
      <c r="A88" s="7">
        <v>86</v>
      </c>
      <c r="B88" s="4" t="s">
        <v>266</v>
      </c>
      <c r="C88" s="4" t="s">
        <v>127</v>
      </c>
      <c r="D88" s="4" t="s">
        <v>298</v>
      </c>
      <c r="E88" s="4" t="s">
        <v>299</v>
      </c>
      <c r="F88" s="10" t="s">
        <v>40</v>
      </c>
      <c r="G88" s="4" t="s">
        <v>300</v>
      </c>
      <c r="H88" s="4" t="s">
        <v>88</v>
      </c>
      <c r="I88" s="4"/>
      <c r="J88" s="4"/>
      <c r="K88" s="4"/>
      <c r="L88" s="4"/>
      <c r="M88" s="4" t="s">
        <v>301</v>
      </c>
      <c r="N88" s="4"/>
      <c r="O88" s="4"/>
      <c r="P88" s="13" t="b">
        <v>1</v>
      </c>
    </row>
    <row r="89" spans="1:16" ht="48" customHeight="1">
      <c r="A89" s="7">
        <v>87</v>
      </c>
      <c r="B89" s="4" t="s">
        <v>266</v>
      </c>
      <c r="C89" s="4" t="s">
        <v>302</v>
      </c>
      <c r="D89" s="4" t="s">
        <v>303</v>
      </c>
      <c r="E89" s="4" t="s">
        <v>299</v>
      </c>
      <c r="F89" s="10" t="s">
        <v>137</v>
      </c>
      <c r="G89" s="4" t="s">
        <v>304</v>
      </c>
      <c r="H89" s="4" t="s">
        <v>88</v>
      </c>
      <c r="I89" s="4"/>
      <c r="J89" s="4"/>
      <c r="K89" s="4"/>
      <c r="L89" s="4"/>
      <c r="M89" s="4" t="s">
        <v>305</v>
      </c>
      <c r="N89" s="4"/>
      <c r="O89" s="4"/>
      <c r="P89" s="13" t="b">
        <v>1</v>
      </c>
    </row>
    <row r="90" spans="1:16" ht="48" customHeight="1">
      <c r="A90" s="7">
        <v>88</v>
      </c>
      <c r="B90" s="4" t="s">
        <v>266</v>
      </c>
      <c r="C90" s="4" t="s">
        <v>302</v>
      </c>
      <c r="D90" s="4" t="s">
        <v>306</v>
      </c>
      <c r="E90" s="4" t="s">
        <v>299</v>
      </c>
      <c r="F90" s="10" t="s">
        <v>137</v>
      </c>
      <c r="G90" s="4" t="s">
        <v>307</v>
      </c>
      <c r="H90" s="4" t="s">
        <v>88</v>
      </c>
      <c r="I90" s="4"/>
      <c r="J90" s="4"/>
      <c r="K90" s="4"/>
      <c r="L90" s="4"/>
      <c r="M90" s="4" t="s">
        <v>305</v>
      </c>
      <c r="N90" s="4"/>
      <c r="O90" s="4"/>
      <c r="P90" s="13" t="b">
        <v>1</v>
      </c>
    </row>
    <row r="91" spans="1:16" ht="48" customHeight="1">
      <c r="A91" s="7">
        <v>89</v>
      </c>
      <c r="B91" s="4" t="s">
        <v>266</v>
      </c>
      <c r="C91" s="4" t="s">
        <v>302</v>
      </c>
      <c r="D91" s="4" t="s">
        <v>308</v>
      </c>
      <c r="E91" s="4" t="s">
        <v>299</v>
      </c>
      <c r="F91" s="10" t="s">
        <v>137</v>
      </c>
      <c r="G91" s="4" t="s">
        <v>309</v>
      </c>
      <c r="H91" s="4" t="s">
        <v>88</v>
      </c>
      <c r="I91" s="4"/>
      <c r="J91" s="4"/>
      <c r="K91" s="4"/>
      <c r="L91" s="4"/>
      <c r="M91" s="4" t="s">
        <v>305</v>
      </c>
      <c r="N91" s="4"/>
      <c r="O91" s="4"/>
      <c r="P91" s="13" t="b">
        <v>1</v>
      </c>
    </row>
    <row r="92" spans="1:16" ht="48" customHeight="1">
      <c r="A92" s="7">
        <v>90</v>
      </c>
      <c r="B92" s="4" t="s">
        <v>266</v>
      </c>
      <c r="C92" s="4" t="s">
        <v>149</v>
      </c>
      <c r="D92" s="4" t="s">
        <v>310</v>
      </c>
      <c r="E92" s="4" t="s">
        <v>299</v>
      </c>
      <c r="F92" s="10" t="s">
        <v>151</v>
      </c>
      <c r="G92" s="4" t="s">
        <v>300</v>
      </c>
      <c r="H92" s="4" t="s">
        <v>88</v>
      </c>
      <c r="I92" s="4"/>
      <c r="J92" s="4"/>
      <c r="K92" s="4"/>
      <c r="L92" s="4"/>
      <c r="M92" s="4" t="s">
        <v>311</v>
      </c>
      <c r="N92" s="4"/>
      <c r="O92" s="4"/>
      <c r="P92" s="13" t="b">
        <v>1</v>
      </c>
    </row>
    <row r="93" spans="1:16" ht="48" customHeight="1">
      <c r="A93" s="7">
        <v>91</v>
      </c>
      <c r="B93" s="4" t="s">
        <v>312</v>
      </c>
      <c r="C93" s="4" t="s">
        <v>313</v>
      </c>
      <c r="D93" s="4" t="s">
        <v>314</v>
      </c>
      <c r="E93" s="4" t="s">
        <v>82</v>
      </c>
      <c r="F93" s="10" t="s">
        <v>35</v>
      </c>
      <c r="G93" s="4" t="s">
        <v>315</v>
      </c>
      <c r="H93" s="4" t="s">
        <v>88</v>
      </c>
      <c r="I93" s="4"/>
      <c r="J93" s="4"/>
      <c r="K93" s="4"/>
      <c r="L93" s="4" t="s">
        <v>316</v>
      </c>
      <c r="M93" s="4" t="s">
        <v>317</v>
      </c>
      <c r="N93" s="4"/>
      <c r="O93" s="4"/>
      <c r="P93" s="13" t="b">
        <v>1</v>
      </c>
    </row>
    <row r="94" spans="1:16" ht="48" customHeight="1">
      <c r="A94" s="7">
        <v>92</v>
      </c>
      <c r="B94" s="4" t="s">
        <v>312</v>
      </c>
      <c r="C94" s="4" t="s">
        <v>313</v>
      </c>
      <c r="D94" s="4" t="s">
        <v>318</v>
      </c>
      <c r="E94" s="4" t="s">
        <v>82</v>
      </c>
      <c r="F94" s="10" t="s">
        <v>35</v>
      </c>
      <c r="G94" s="4" t="s">
        <v>315</v>
      </c>
      <c r="H94" s="4" t="s">
        <v>88</v>
      </c>
      <c r="I94" s="4"/>
      <c r="J94" s="4"/>
      <c r="K94" s="4"/>
      <c r="L94" s="4" t="s">
        <v>319</v>
      </c>
      <c r="M94" s="4" t="s">
        <v>317</v>
      </c>
      <c r="N94" s="4"/>
      <c r="O94" s="4"/>
      <c r="P94" s="13" t="b">
        <v>1</v>
      </c>
    </row>
    <row r="95" spans="1:16" ht="48" customHeight="1">
      <c r="A95" s="7">
        <v>93</v>
      </c>
      <c r="B95" s="4" t="s">
        <v>312</v>
      </c>
      <c r="C95" s="4" t="s">
        <v>313</v>
      </c>
      <c r="D95" s="4" t="s">
        <v>320</v>
      </c>
      <c r="E95" s="4" t="s">
        <v>82</v>
      </c>
      <c r="F95" s="10" t="s">
        <v>35</v>
      </c>
      <c r="G95" s="4" t="s">
        <v>315</v>
      </c>
      <c r="H95" s="4" t="s">
        <v>88</v>
      </c>
      <c r="I95" s="4"/>
      <c r="J95" s="4"/>
      <c r="K95" s="4"/>
      <c r="L95" s="4" t="s">
        <v>321</v>
      </c>
      <c r="M95" s="4" t="s">
        <v>317</v>
      </c>
      <c r="N95" s="4"/>
      <c r="O95" s="4"/>
      <c r="P95" s="13" t="b">
        <v>1</v>
      </c>
    </row>
    <row r="96" spans="1:16" ht="48" customHeight="1">
      <c r="A96" s="7">
        <v>94</v>
      </c>
      <c r="B96" s="4" t="s">
        <v>312</v>
      </c>
      <c r="C96" s="4" t="s">
        <v>162</v>
      </c>
      <c r="D96" s="4" t="s">
        <v>322</v>
      </c>
      <c r="E96" s="4"/>
      <c r="F96" s="10" t="s">
        <v>35</v>
      </c>
      <c r="G96" s="4" t="s">
        <v>315</v>
      </c>
      <c r="H96" s="4"/>
      <c r="I96" s="4"/>
      <c r="J96" s="4"/>
      <c r="K96" s="4"/>
      <c r="L96" s="4" t="s">
        <v>316</v>
      </c>
      <c r="M96" s="4" t="s">
        <v>78</v>
      </c>
      <c r="N96" s="4"/>
      <c r="O96" s="4"/>
      <c r="P96" s="13" t="b">
        <v>1</v>
      </c>
    </row>
    <row r="97" spans="1:16" ht="48" customHeight="1">
      <c r="A97" s="7">
        <v>95</v>
      </c>
      <c r="B97" s="4" t="s">
        <v>312</v>
      </c>
      <c r="C97" s="4" t="s">
        <v>162</v>
      </c>
      <c r="D97" s="4" t="s">
        <v>323</v>
      </c>
      <c r="E97" s="4"/>
      <c r="F97" s="10" t="s">
        <v>35</v>
      </c>
      <c r="G97" s="4" t="s">
        <v>315</v>
      </c>
      <c r="H97" s="4" t="s">
        <v>80</v>
      </c>
      <c r="I97" s="4"/>
      <c r="J97" s="4"/>
      <c r="K97" s="4"/>
      <c r="L97" s="4" t="s">
        <v>316</v>
      </c>
      <c r="M97" s="4" t="s">
        <v>78</v>
      </c>
      <c r="N97" s="4"/>
      <c r="O97" s="4"/>
      <c r="P97" s="13" t="b">
        <v>1</v>
      </c>
    </row>
    <row r="98" spans="1:16" ht="48" customHeight="1">
      <c r="A98" s="7">
        <v>96</v>
      </c>
      <c r="B98" s="4" t="s">
        <v>312</v>
      </c>
      <c r="C98" s="4" t="s">
        <v>55</v>
      </c>
      <c r="D98" s="4" t="s">
        <v>324</v>
      </c>
      <c r="E98" s="4" t="s">
        <v>82</v>
      </c>
      <c r="F98" s="10" t="s">
        <v>35</v>
      </c>
      <c r="G98" s="4" t="s">
        <v>315</v>
      </c>
      <c r="H98" s="4" t="s">
        <v>88</v>
      </c>
      <c r="I98" s="4"/>
      <c r="J98" s="4"/>
      <c r="K98" s="4"/>
      <c r="L98" s="4"/>
      <c r="M98" s="4" t="s">
        <v>325</v>
      </c>
      <c r="N98" s="4"/>
      <c r="O98" s="4"/>
      <c r="P98" s="13" t="b">
        <v>1</v>
      </c>
    </row>
    <row r="99" spans="1:16" ht="48" customHeight="1">
      <c r="A99" s="7">
        <v>97</v>
      </c>
      <c r="B99" s="4" t="s">
        <v>312</v>
      </c>
      <c r="C99" s="4" t="s">
        <v>229</v>
      </c>
      <c r="D99" s="4" t="s">
        <v>326</v>
      </c>
      <c r="E99" s="4" t="s">
        <v>82</v>
      </c>
      <c r="F99" s="10" t="s">
        <v>35</v>
      </c>
      <c r="G99" s="4" t="s">
        <v>315</v>
      </c>
      <c r="H99" s="4" t="s">
        <v>88</v>
      </c>
      <c r="I99" s="4"/>
      <c r="J99" s="4"/>
      <c r="K99" s="4"/>
      <c r="L99" s="4" t="s">
        <v>327</v>
      </c>
      <c r="M99" s="4" t="s">
        <v>328</v>
      </c>
      <c r="N99" s="4"/>
      <c r="O99" s="4"/>
      <c r="P99" s="13" t="b">
        <v>1</v>
      </c>
    </row>
    <row r="100" spans="1:16" ht="48" customHeight="1">
      <c r="A100" s="7">
        <v>98</v>
      </c>
      <c r="B100" s="4" t="s">
        <v>312</v>
      </c>
      <c r="C100" s="4" t="s">
        <v>329</v>
      </c>
      <c r="D100" s="4" t="s">
        <v>330</v>
      </c>
      <c r="E100" s="4" t="s">
        <v>82</v>
      </c>
      <c r="F100" s="10" t="s">
        <v>35</v>
      </c>
      <c r="G100" s="4" t="s">
        <v>315</v>
      </c>
      <c r="H100" s="4" t="s">
        <v>88</v>
      </c>
      <c r="I100" s="4"/>
      <c r="J100" s="4"/>
      <c r="K100" s="4"/>
      <c r="L100" s="4" t="s">
        <v>331</v>
      </c>
      <c r="M100" s="4" t="s">
        <v>332</v>
      </c>
      <c r="N100" s="4"/>
      <c r="O100" s="4"/>
      <c r="P100" s="13" t="b">
        <v>1</v>
      </c>
    </row>
    <row r="101" spans="1:16" ht="48" customHeight="1">
      <c r="A101" s="7">
        <v>99</v>
      </c>
      <c r="B101" s="4" t="s">
        <v>312</v>
      </c>
      <c r="C101" s="4" t="s">
        <v>229</v>
      </c>
      <c r="D101" s="4" t="s">
        <v>333</v>
      </c>
      <c r="E101" s="4" t="s">
        <v>82</v>
      </c>
      <c r="F101" s="10" t="s">
        <v>35</v>
      </c>
      <c r="G101" s="4" t="s">
        <v>315</v>
      </c>
      <c r="H101" s="4" t="s">
        <v>88</v>
      </c>
      <c r="I101" s="4"/>
      <c r="J101" s="4"/>
      <c r="K101" s="4"/>
      <c r="L101" s="4" t="s">
        <v>334</v>
      </c>
      <c r="M101" s="4" t="s">
        <v>328</v>
      </c>
      <c r="N101" s="4"/>
      <c r="O101" s="4"/>
      <c r="P101" s="13" t="b">
        <v>1</v>
      </c>
    </row>
    <row r="102" spans="1:16" ht="48" customHeight="1">
      <c r="A102" s="8">
        <v>100</v>
      </c>
      <c r="B102" s="5" t="s">
        <v>312</v>
      </c>
      <c r="C102" s="5" t="s">
        <v>335</v>
      </c>
      <c r="D102" s="5" t="s">
        <v>336</v>
      </c>
      <c r="E102" s="5" t="s">
        <v>82</v>
      </c>
      <c r="F102" s="11" t="s">
        <v>35</v>
      </c>
      <c r="G102" s="5" t="s">
        <v>315</v>
      </c>
      <c r="H102" s="5" t="s">
        <v>88</v>
      </c>
      <c r="I102" s="5"/>
      <c r="J102" s="5"/>
      <c r="K102" s="5"/>
      <c r="L102" s="5" t="s">
        <v>337</v>
      </c>
      <c r="M102" s="5" t="s">
        <v>317</v>
      </c>
      <c r="N102" s="5"/>
      <c r="O102" s="5"/>
      <c r="P102" s="14" t="b">
        <v>1</v>
      </c>
    </row>
  </sheetData>
  <phoneticPr fontId="11" type="noConversion"/>
  <conditionalFormatting sqref="A3:P102">
    <cfRule type="expression" dxfId="1" priority="1">
      <formula>MOD(ROW(),2)=1</formula>
    </cfRule>
  </conditionalFormatting>
  <conditionalFormatting sqref="P3:P102"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/>
  </sheetViews>
  <sheetFormatPr defaultRowHeight="14.25"/>
  <cols>
    <col min="1" max="1" width="24" customWidth="1"/>
    <col min="2" max="3" width="14" customWidth="1"/>
    <col min="4" max="8" width="13" customWidth="1"/>
  </cols>
  <sheetData>
    <row r="1" spans="1:8" ht="33.950000000000003" customHeight="1">
      <c r="A1" s="40" t="s">
        <v>338</v>
      </c>
      <c r="B1" s="40"/>
      <c r="C1" s="40"/>
      <c r="D1" s="40"/>
      <c r="E1" s="40"/>
      <c r="F1" s="40"/>
      <c r="G1" s="40"/>
      <c r="H1" s="40"/>
    </row>
    <row r="3" spans="1:8" ht="15">
      <c r="A3" s="15" t="s">
        <v>339</v>
      </c>
      <c r="B3" s="15" t="s">
        <v>340</v>
      </c>
    </row>
    <row r="4" spans="1:8" ht="18">
      <c r="A4" s="16" t="s">
        <v>341</v>
      </c>
      <c r="B4" s="19">
        <f>COUNTA(Sheet1!$A$3:$A$102)</f>
        <v>100</v>
      </c>
    </row>
    <row r="5" spans="1:8" ht="18">
      <c r="A5" s="17" t="s">
        <v>342</v>
      </c>
      <c r="B5" s="20">
        <f>COUNTA(Sheet1!$P$3:$P$102)</f>
        <v>100</v>
      </c>
    </row>
    <row r="6" spans="1:8" ht="18">
      <c r="A6" s="18" t="s">
        <v>343</v>
      </c>
      <c r="B6" s="21">
        <f>COUNTA(A9:A15)</f>
        <v>7</v>
      </c>
    </row>
    <row r="8" spans="1:8" ht="15">
      <c r="A8" s="15" t="s">
        <v>1</v>
      </c>
      <c r="B8" s="15" t="s">
        <v>344</v>
      </c>
      <c r="C8" s="15" t="s">
        <v>345</v>
      </c>
    </row>
    <row r="9" spans="1:8">
      <c r="A9" s="22" t="s">
        <v>32</v>
      </c>
      <c r="B9" s="23">
        <f>COUNTIF(Sheet1!$B$3:$B$102,A9)</f>
        <v>3</v>
      </c>
      <c r="C9" s="28">
        <f t="shared" ref="C9:C15" si="0">B9/$B$4</f>
        <v>0.03</v>
      </c>
    </row>
    <row r="10" spans="1:8">
      <c r="A10" s="24" t="s">
        <v>47</v>
      </c>
      <c r="B10" s="25">
        <f>COUNTIF(Sheet1!$B$3:$B$102,A10)</f>
        <v>12</v>
      </c>
      <c r="C10" s="29">
        <f t="shared" si="0"/>
        <v>0.12</v>
      </c>
    </row>
    <row r="11" spans="1:8">
      <c r="A11" s="24" t="s">
        <v>85</v>
      </c>
      <c r="B11" s="25">
        <f>COUNTIF(Sheet1!$B$3:$B$102,A11)</f>
        <v>20</v>
      </c>
      <c r="C11" s="29">
        <f t="shared" si="0"/>
        <v>0.2</v>
      </c>
    </row>
    <row r="12" spans="1:8">
      <c r="A12" s="24" t="s">
        <v>153</v>
      </c>
      <c r="B12" s="25">
        <f>COUNTIF(Sheet1!$B$3:$B$102,A12)</f>
        <v>15</v>
      </c>
      <c r="C12" s="29">
        <f t="shared" si="0"/>
        <v>0.15</v>
      </c>
    </row>
    <row r="13" spans="1:8">
      <c r="A13" s="24" t="s">
        <v>192</v>
      </c>
      <c r="B13" s="25">
        <f>COUNTIF(Sheet1!$B$3:$B$102,A13)</f>
        <v>25</v>
      </c>
      <c r="C13" s="29">
        <f t="shared" si="0"/>
        <v>0.25</v>
      </c>
    </row>
    <row r="14" spans="1:8">
      <c r="A14" s="24" t="s">
        <v>266</v>
      </c>
      <c r="B14" s="25">
        <f>COUNTIF(Sheet1!$B$3:$B$102,A14)</f>
        <v>15</v>
      </c>
      <c r="C14" s="29">
        <f t="shared" si="0"/>
        <v>0.15</v>
      </c>
    </row>
    <row r="15" spans="1:8">
      <c r="A15" s="26" t="s">
        <v>312</v>
      </c>
      <c r="B15" s="27">
        <f>COUNTIF(Sheet1!$B$3:$B$102,A15)</f>
        <v>10</v>
      </c>
      <c r="C15" s="30">
        <f t="shared" si="0"/>
        <v>0.1</v>
      </c>
    </row>
    <row r="18" spans="1:8" ht="36" customHeight="1">
      <c r="A18" s="41" t="s">
        <v>346</v>
      </c>
      <c r="B18" s="41"/>
      <c r="C18" s="41"/>
      <c r="D18" s="41"/>
      <c r="E18" s="41"/>
      <c r="F18" s="41"/>
      <c r="G18" s="41"/>
      <c r="H18" s="41"/>
    </row>
  </sheetData>
  <mergeCells count="2">
    <mergeCell ref="A1:H1"/>
    <mergeCell ref="A18:H18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showGridLines="0" workbookViewId="0"/>
  </sheetViews>
  <sheetFormatPr defaultRowHeight="14.25"/>
  <cols>
    <col min="1" max="1" width="12" customWidth="1"/>
    <col min="2" max="2" width="18" customWidth="1"/>
    <col min="3" max="3" width="34" customWidth="1"/>
    <col min="4" max="4" width="10" customWidth="1"/>
    <col min="5" max="5" width="24" customWidth="1"/>
    <col min="6" max="6" width="34" customWidth="1"/>
  </cols>
  <sheetData>
    <row r="1" spans="1:6" ht="32.1" customHeight="1">
      <c r="A1" s="42" t="s">
        <v>347</v>
      </c>
      <c r="B1" s="42"/>
      <c r="C1" s="42"/>
      <c r="D1" s="42"/>
      <c r="E1" s="42"/>
      <c r="F1" s="42"/>
    </row>
    <row r="3" spans="1:6" ht="15">
      <c r="A3" s="15" t="s">
        <v>1</v>
      </c>
      <c r="B3" s="15" t="s">
        <v>348</v>
      </c>
      <c r="C3" s="15" t="s">
        <v>349</v>
      </c>
      <c r="D3" s="15" t="s">
        <v>350</v>
      </c>
      <c r="E3" s="15" t="s">
        <v>351</v>
      </c>
      <c r="F3" s="15" t="s">
        <v>352</v>
      </c>
    </row>
    <row r="4" spans="1:6" ht="33.950000000000003" customHeight="1">
      <c r="A4" s="31" t="s">
        <v>353</v>
      </c>
      <c r="B4" s="32" t="s">
        <v>354</v>
      </c>
      <c r="C4" s="32" t="s">
        <v>41</v>
      </c>
      <c r="D4" s="32" t="s">
        <v>355</v>
      </c>
      <c r="E4" s="32" t="s">
        <v>356</v>
      </c>
      <c r="F4" s="33" t="s">
        <v>357</v>
      </c>
    </row>
    <row r="5" spans="1:6" ht="33.950000000000003" customHeight="1">
      <c r="A5" s="34" t="s">
        <v>353</v>
      </c>
      <c r="B5" s="35" t="s">
        <v>358</v>
      </c>
      <c r="C5" s="35" t="s">
        <v>36</v>
      </c>
      <c r="D5" s="35" t="s">
        <v>355</v>
      </c>
      <c r="E5" s="35" t="s">
        <v>356</v>
      </c>
      <c r="F5" s="36" t="s">
        <v>359</v>
      </c>
    </row>
    <row r="6" spans="1:6" ht="33.950000000000003" customHeight="1">
      <c r="A6" s="34" t="s">
        <v>360</v>
      </c>
      <c r="B6" s="35" t="s">
        <v>358</v>
      </c>
      <c r="C6" s="35" t="s">
        <v>50</v>
      </c>
      <c r="D6" s="35" t="s">
        <v>355</v>
      </c>
      <c r="E6" s="35" t="s">
        <v>361</v>
      </c>
      <c r="F6" s="36" t="s">
        <v>362</v>
      </c>
    </row>
    <row r="7" spans="1:6" ht="33.950000000000003" customHeight="1">
      <c r="A7" s="34" t="s">
        <v>363</v>
      </c>
      <c r="B7" s="35" t="s">
        <v>364</v>
      </c>
      <c r="C7" s="35" t="s">
        <v>77</v>
      </c>
      <c r="D7" s="35" t="s">
        <v>365</v>
      </c>
      <c r="E7" s="35" t="s">
        <v>366</v>
      </c>
      <c r="F7" s="36" t="s">
        <v>367</v>
      </c>
    </row>
    <row r="8" spans="1:6" ht="33.950000000000003" customHeight="1">
      <c r="A8" s="34" t="s">
        <v>363</v>
      </c>
      <c r="B8" s="35" t="s">
        <v>368</v>
      </c>
      <c r="C8" s="35" t="s">
        <v>369</v>
      </c>
      <c r="D8" s="35" t="s">
        <v>365</v>
      </c>
      <c r="E8" s="35" t="s">
        <v>370</v>
      </c>
      <c r="F8" s="36" t="s">
        <v>371</v>
      </c>
    </row>
    <row r="9" spans="1:6" ht="33.950000000000003" customHeight="1">
      <c r="A9" s="34" t="s">
        <v>363</v>
      </c>
      <c r="B9" s="35" t="s">
        <v>372</v>
      </c>
      <c r="C9" s="35" t="s">
        <v>373</v>
      </c>
      <c r="D9" s="35" t="s">
        <v>365</v>
      </c>
      <c r="E9" s="35" t="s">
        <v>370</v>
      </c>
      <c r="F9" s="36" t="s">
        <v>374</v>
      </c>
    </row>
    <row r="10" spans="1:6" ht="33.950000000000003" customHeight="1">
      <c r="A10" s="34" t="s">
        <v>375</v>
      </c>
      <c r="B10" s="35" t="s">
        <v>364</v>
      </c>
      <c r="C10" s="35" t="s">
        <v>155</v>
      </c>
      <c r="D10" s="35" t="s">
        <v>365</v>
      </c>
      <c r="E10" s="35" t="s">
        <v>366</v>
      </c>
      <c r="F10" s="36" t="s">
        <v>376</v>
      </c>
    </row>
    <row r="11" spans="1:6" ht="33.950000000000003" customHeight="1">
      <c r="A11" s="34" t="s">
        <v>375</v>
      </c>
      <c r="B11" s="35" t="s">
        <v>368</v>
      </c>
      <c r="C11" s="35" t="s">
        <v>377</v>
      </c>
      <c r="D11" s="35" t="s">
        <v>365</v>
      </c>
      <c r="E11" s="35" t="s">
        <v>378</v>
      </c>
      <c r="F11" s="36" t="s">
        <v>379</v>
      </c>
    </row>
    <row r="12" spans="1:6" ht="33.950000000000003" customHeight="1">
      <c r="A12" s="34" t="s">
        <v>380</v>
      </c>
      <c r="B12" s="35" t="s">
        <v>364</v>
      </c>
      <c r="C12" s="35" t="s">
        <v>194</v>
      </c>
      <c r="D12" s="35" t="s">
        <v>365</v>
      </c>
      <c r="E12" s="35" t="s">
        <v>366</v>
      </c>
      <c r="F12" s="36" t="s">
        <v>381</v>
      </c>
    </row>
    <row r="13" spans="1:6" ht="33.950000000000003" customHeight="1">
      <c r="A13" s="34" t="s">
        <v>380</v>
      </c>
      <c r="B13" s="35" t="s">
        <v>368</v>
      </c>
      <c r="C13" s="35" t="s">
        <v>382</v>
      </c>
      <c r="D13" s="35" t="s">
        <v>365</v>
      </c>
      <c r="E13" s="35" t="s">
        <v>378</v>
      </c>
      <c r="F13" s="36" t="s">
        <v>383</v>
      </c>
    </row>
    <row r="14" spans="1:6" ht="33.950000000000003" customHeight="1">
      <c r="A14" s="34" t="s">
        <v>380</v>
      </c>
      <c r="B14" s="35" t="s">
        <v>372</v>
      </c>
      <c r="C14" s="35" t="s">
        <v>384</v>
      </c>
      <c r="D14" s="35" t="s">
        <v>365</v>
      </c>
      <c r="E14" s="35" t="s">
        <v>370</v>
      </c>
      <c r="F14" s="36" t="s">
        <v>385</v>
      </c>
    </row>
    <row r="15" spans="1:6" ht="33.950000000000003" customHeight="1">
      <c r="A15" s="34" t="s">
        <v>380</v>
      </c>
      <c r="B15" s="35" t="s">
        <v>372</v>
      </c>
      <c r="C15" s="35" t="s">
        <v>386</v>
      </c>
      <c r="D15" s="35" t="s">
        <v>365</v>
      </c>
      <c r="E15" s="35" t="s">
        <v>370</v>
      </c>
      <c r="F15" s="36" t="s">
        <v>387</v>
      </c>
    </row>
    <row r="16" spans="1:6" ht="33.950000000000003" customHeight="1">
      <c r="A16" s="34" t="s">
        <v>388</v>
      </c>
      <c r="B16" s="35" t="s">
        <v>364</v>
      </c>
      <c r="C16" s="35" t="s">
        <v>268</v>
      </c>
      <c r="D16" s="35" t="s">
        <v>365</v>
      </c>
      <c r="E16" s="35" t="s">
        <v>366</v>
      </c>
      <c r="F16" s="36" t="s">
        <v>389</v>
      </c>
    </row>
    <row r="17" spans="1:6" ht="33.950000000000003" customHeight="1">
      <c r="A17" s="34" t="s">
        <v>388</v>
      </c>
      <c r="B17" s="35" t="s">
        <v>390</v>
      </c>
      <c r="C17" s="35" t="s">
        <v>391</v>
      </c>
      <c r="D17" s="35" t="s">
        <v>365</v>
      </c>
      <c r="E17" s="35" t="s">
        <v>378</v>
      </c>
      <c r="F17" s="36" t="s">
        <v>392</v>
      </c>
    </row>
    <row r="18" spans="1:6" ht="33.950000000000003" customHeight="1">
      <c r="A18" s="34" t="s">
        <v>388</v>
      </c>
      <c r="B18" s="35" t="s">
        <v>372</v>
      </c>
      <c r="C18" s="35" t="s">
        <v>393</v>
      </c>
      <c r="D18" s="35" t="s">
        <v>365</v>
      </c>
      <c r="E18" s="35" t="s">
        <v>378</v>
      </c>
      <c r="F18" s="36" t="s">
        <v>394</v>
      </c>
    </row>
    <row r="19" spans="1:6" ht="33.950000000000003" customHeight="1">
      <c r="A19" s="37" t="s">
        <v>395</v>
      </c>
      <c r="B19" s="38" t="s">
        <v>358</v>
      </c>
      <c r="C19" s="38" t="s">
        <v>315</v>
      </c>
      <c r="D19" s="38" t="s">
        <v>365</v>
      </c>
      <c r="E19" s="38" t="s">
        <v>396</v>
      </c>
      <c r="F19" s="39" t="s">
        <v>397</v>
      </c>
    </row>
    <row r="21" spans="1:6" ht="33.950000000000003" customHeight="1">
      <c r="A21" s="43" t="s">
        <v>398</v>
      </c>
      <c r="B21" s="43"/>
      <c r="C21" s="43"/>
      <c r="D21" s="43"/>
      <c r="E21" s="43"/>
      <c r="F21" s="43"/>
    </row>
  </sheetData>
  <mergeCells count="2">
    <mergeCell ref="A1:F1"/>
    <mergeCell ref="A21:F2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用例统计</vt:lpstr>
      <vt:lpstr>接口契约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935940314@qq.com</cp:lastModifiedBy>
  <dcterms:modified xsi:type="dcterms:W3CDTF">2026-09-06T11:58:18Z</dcterms:modified>
</cp:coreProperties>
</file>